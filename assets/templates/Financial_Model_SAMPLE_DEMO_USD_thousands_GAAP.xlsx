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xmlns:r="http://schemas.openxmlformats.org/officeDocument/2006/relationships" name="Blank 3 Statement Model" sheetId="1" state="visible" r:id="rId1"/>
    <sheet xmlns:r="http://schemas.openxmlformats.org/officeDocument/2006/relationships" name="Upload_Guidance" sheetId="2" state="visible" r:id="rId2"/>
  </sheets>
  <definedNames>
    <definedName name="CIQWBGuid" hidden="1">"2cd8126d-26c3-430c-b7fa-a069e3a1fc62"</definedName>
    <definedName name="IQ_DNTM" hidden="1">700000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MTD" hidden="1">800000</definedName>
    <definedName name="IQ_NAMES_REVISION_DATE_" hidden="1">43412.7003240741</definedName>
    <definedName name="IQ_QTD" hidden="1">750000</definedName>
    <definedName name="IQ_TODAY" hidden="1">0</definedName>
    <definedName name="IQ_YTDMONTH" hidden="1">130000</definedName>
  </definedNames>
  <calcPr calcId="191029" fullCalcOnLoad="1" iterate="1"/>
</workbook>
</file>

<file path=xl/styles.xml><?xml version="1.0" encoding="utf-8"?>
<styleSheet xmlns="http://schemas.openxmlformats.org/spreadsheetml/2006/main">
  <numFmts count="7">
    <numFmt numFmtId="164" formatCode="_-* #,##0_-;\(#,##0\)_-;_-* &quot;-&quot;_-;_-@_-"/>
    <numFmt numFmtId="165" formatCode="#,##0_);\(#,##0\);\-"/>
    <numFmt numFmtId="166" formatCode="0.0%"/>
    <numFmt numFmtId="167" formatCode="[Blue]#,##0;[Blue]\(#,##0\);\-"/>
    <numFmt numFmtId="168" formatCode="#,##0_);[Red]\(#,##0\);\-"/>
    <numFmt numFmtId="169" formatCode="#,##0.000_);\(#,##0.000\)"/>
    <numFmt numFmtId="170" formatCode="_-* #,##0.00_-;\-* #,##0.00_-;_-* &quot;-&quot;??_-;_-@_-"/>
  </numFmts>
  <fonts count="25">
    <font>
      <name val="Arial"/>
      <family val="2"/>
      <sz val="10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 Narrow"/>
      <family val="2"/>
      <b val="1"/>
      <color theme="0"/>
      <sz val="11"/>
    </font>
    <font>
      <name val="Arial Narrow"/>
      <family val="2"/>
      <color theme="0"/>
      <sz val="11"/>
    </font>
    <font>
      <name val="Arial Narrow"/>
      <family val="2"/>
      <color theme="1"/>
      <sz val="11"/>
    </font>
    <font>
      <name val="Arial Narrow"/>
      <family val="2"/>
      <b val="1"/>
      <color rgb="FFFFFFFF"/>
      <sz val="14"/>
    </font>
    <font>
      <name val="Bookman"/>
      <family val="1"/>
      <sz val="10"/>
    </font>
    <font>
      <name val="Arial Narrow"/>
      <family val="2"/>
      <i val="1"/>
      <color theme="0"/>
      <sz val="10"/>
    </font>
    <font>
      <name val="Arial Narrow"/>
      <family val="2"/>
      <b val="1"/>
      <color theme="0"/>
      <sz val="14"/>
    </font>
    <font>
      <name val="Arial Narrow"/>
      <family val="2"/>
      <i val="1"/>
      <color theme="1"/>
      <sz val="11"/>
    </font>
    <font>
      <name val="Arial Narrow"/>
      <family val="2"/>
      <i val="1"/>
      <sz val="11"/>
    </font>
    <font>
      <name val="Arial Narrow"/>
      <family val="2"/>
      <color theme="1"/>
      <sz val="14"/>
    </font>
    <font>
      <name val="Arial Narrow"/>
      <family val="2"/>
      <b val="1"/>
      <sz val="11"/>
    </font>
    <font>
      <name val="Arial Narrow"/>
      <family val="2"/>
      <sz val="11"/>
    </font>
    <font>
      <name val="Arial Narrow"/>
      <family val="2"/>
      <color rgb="FF0000FF"/>
      <sz val="11"/>
    </font>
    <font>
      <name val="Arial"/>
      <family val="2"/>
      <sz val="11"/>
    </font>
    <font>
      <name val="Bookman"/>
      <sz val="10"/>
    </font>
    <font>
      <name val="Arial Narrow"/>
      <family val="2"/>
      <b val="1"/>
      <color rgb="FF0000FF"/>
      <sz val="11"/>
    </font>
    <font>
      <name val="Arial"/>
      <family val="2"/>
      <color theme="10"/>
      <sz val="10"/>
      <u val="single"/>
    </font>
    <font>
      <color rgb="FF000000"/>
    </font>
    <font>
      <color rgb="FF0070C0"/>
    </font>
    <font>
      <b val="1"/>
      <sz val="14"/>
    </font>
    <font>
      <b val="1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FF132E57"/>
        <bgColor indexed="64"/>
      </patternFill>
    </fill>
    <fill>
      <patternFill patternType="solid">
        <fgColor rgb="FF1E8496"/>
        <bgColor indexed="64"/>
      </patternFill>
    </fill>
    <fill>
      <patternFill patternType="solid">
        <fgColor rgb="FFED942D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6">
    <xf numFmtId="0" fontId="2" fillId="0" borderId="0"/>
    <xf numFmtId="43" fontId="2" fillId="0" borderId="0"/>
    <xf numFmtId="9" fontId="17" fillId="0" borderId="0"/>
    <xf numFmtId="170" fontId="7" fillId="0" borderId="0"/>
    <xf numFmtId="0" fontId="1" fillId="0" borderId="0"/>
    <xf numFmtId="0" fontId="19" fillId="0" borderId="0"/>
  </cellStyleXfs>
  <cellXfs count="126">
    <xf numFmtId="0" fontId="0" fillId="0" borderId="0" pivotButton="0" quotePrefix="0" xfId="0"/>
    <xf numFmtId="37" fontId="3" fillId="3" borderId="0" applyAlignment="1" pivotButton="0" quotePrefix="0" xfId="0">
      <alignment vertical="top"/>
    </xf>
    <xf numFmtId="37" fontId="4" fillId="3" borderId="0" applyAlignment="1" pivotButton="0" quotePrefix="0" xfId="0">
      <alignment vertical="top"/>
    </xf>
    <xf numFmtId="37" fontId="5" fillId="0" borderId="0" pivotButton="0" quotePrefix="0" xfId="0"/>
    <xf numFmtId="0" fontId="6" fillId="2" borderId="0" applyAlignment="1" pivotButton="0" quotePrefix="0" xfId="0">
      <alignment horizontal="left" vertical="center" readingOrder="1"/>
    </xf>
    <xf numFmtId="164" fontId="8" fillId="2" borderId="0" applyAlignment="1" applyProtection="1" pivotButton="0" quotePrefix="0" xfId="3">
      <alignment horizontal="left"/>
      <protection locked="0" hidden="0"/>
    </xf>
    <xf numFmtId="164" fontId="10" fillId="0" borderId="0" applyProtection="1" pivotButton="0" quotePrefix="0" xfId="3">
      <protection locked="0" hidden="0"/>
    </xf>
    <xf numFmtId="164" fontId="11" fillId="0" borderId="0" applyAlignment="1" pivotButton="0" quotePrefix="0" xfId="3">
      <alignment horizontal="right"/>
    </xf>
    <xf numFmtId="164" fontId="5" fillId="0" borderId="0" applyProtection="1" pivotButton="0" quotePrefix="0" xfId="3">
      <protection locked="0" hidden="0"/>
    </xf>
    <xf numFmtId="164" fontId="10" fillId="0" borderId="0" applyAlignment="1" applyProtection="1" pivotButton="0" quotePrefix="0" xfId="3">
      <alignment horizontal="center"/>
      <protection locked="0" hidden="0"/>
    </xf>
    <xf numFmtId="37" fontId="9" fillId="4" borderId="0" applyAlignment="1" pivotButton="0" quotePrefix="0" xfId="0">
      <alignment vertical="center"/>
    </xf>
    <xf numFmtId="165" fontId="9" fillId="4" borderId="0" applyAlignment="1" pivotButton="0" quotePrefix="0" xfId="0">
      <alignment vertical="center"/>
    </xf>
    <xf numFmtId="37" fontId="12" fillId="0" borderId="0" applyAlignment="1" pivotButton="0" quotePrefix="0" xfId="0">
      <alignment vertical="center"/>
    </xf>
    <xf numFmtId="0" fontId="13" fillId="0" borderId="0" pivotButton="0" quotePrefix="0" xfId="0"/>
    <xf numFmtId="0" fontId="14" fillId="0" borderId="0" pivotButton="0" quotePrefix="0" xfId="0"/>
    <xf numFmtId="165" fontId="14" fillId="0" borderId="0" pivotButton="0" quotePrefix="0" xfId="0"/>
    <xf numFmtId="165" fontId="15" fillId="0" borderId="0" pivotButton="0" quotePrefix="0" xfId="0"/>
    <xf numFmtId="0" fontId="16" fillId="0" borderId="0" pivotButton="0" quotePrefix="0" xfId="0"/>
    <xf numFmtId="166" fontId="14" fillId="0" borderId="0" pivotButton="0" quotePrefix="0" xfId="0"/>
    <xf numFmtId="166" fontId="15" fillId="0" borderId="0" applyAlignment="1" pivotButton="0" quotePrefix="0" xfId="2">
      <alignment horizontal="right"/>
    </xf>
    <xf numFmtId="166" fontId="14" fillId="0" borderId="0" pivotButton="0" quotePrefix="0" xfId="2"/>
    <xf numFmtId="38" fontId="14" fillId="0" borderId="0" pivotButton="0" quotePrefix="0" xfId="0"/>
    <xf numFmtId="40" fontId="14" fillId="0" borderId="0" pivotButton="0" quotePrefix="0" xfId="0"/>
    <xf numFmtId="167" fontId="14" fillId="0" borderId="0" applyProtection="1" pivotButton="0" quotePrefix="0" xfId="0">
      <protection locked="0" hidden="0"/>
    </xf>
    <xf numFmtId="165" fontId="18" fillId="0" borderId="0" pivotButton="0" quotePrefix="0" xfId="0"/>
    <xf numFmtId="165" fontId="13" fillId="0" borderId="0" pivotButton="0" quotePrefix="0" xfId="0"/>
    <xf numFmtId="165" fontId="15" fillId="0" borderId="1" pivotButton="0" quotePrefix="0" xfId="0"/>
    <xf numFmtId="0" fontId="13" fillId="0" borderId="2" pivotButton="0" quotePrefix="0" xfId="0"/>
    <xf numFmtId="168" fontId="13" fillId="0" borderId="0" pivotButton="0" quotePrefix="0" xfId="0"/>
    <xf numFmtId="168" fontId="13" fillId="0" borderId="2" pivotButton="0" quotePrefix="0" xfId="0"/>
    <xf numFmtId="0" fontId="14" fillId="0" borderId="2" pivotButton="0" quotePrefix="0" xfId="0"/>
    <xf numFmtId="168" fontId="14" fillId="0" borderId="2" pivotButton="0" quotePrefix="0" xfId="0"/>
    <xf numFmtId="0" fontId="13" fillId="0" borderId="3" pivotButton="0" quotePrefix="0" xfId="0"/>
    <xf numFmtId="168" fontId="13" fillId="0" borderId="3" pivotButton="0" quotePrefix="0" xfId="0"/>
    <xf numFmtId="168" fontId="14" fillId="0" borderId="0" pivotButton="0" quotePrefix="0" xfId="0"/>
    <xf numFmtId="0" fontId="13" fillId="0" borderId="4" pivotButton="0" quotePrefix="0" xfId="0"/>
    <xf numFmtId="168" fontId="13" fillId="0" borderId="4" pivotButton="0" quotePrefix="0" xfId="0"/>
    <xf numFmtId="168" fontId="15" fillId="0" borderId="0" pivotButton="0" quotePrefix="0" xfId="0"/>
    <xf numFmtId="168" fontId="13" fillId="0" borderId="5" pivotButton="0" quotePrefix="0" xfId="0"/>
    <xf numFmtId="0" fontId="11" fillId="0" borderId="0" pivotButton="0" quotePrefix="0" xfId="0"/>
    <xf numFmtId="169" fontId="11" fillId="0" borderId="0" pivotButton="0" quotePrefix="0" xfId="1"/>
    <xf numFmtId="165" fontId="14" fillId="0" borderId="0" applyAlignment="1" pivotButton="0" quotePrefix="0" xfId="0">
      <alignment horizontal="right"/>
    </xf>
    <xf numFmtId="0" fontId="14" fillId="0" borderId="0" applyAlignment="1" pivotButton="0" quotePrefix="0" xfId="0">
      <alignment horizontal="left" indent="1"/>
    </xf>
    <xf numFmtId="165" fontId="14" fillId="0" borderId="2" pivotButton="0" quotePrefix="0" xfId="0"/>
    <xf numFmtId="0" fontId="13" fillId="0" borderId="5" pivotButton="0" quotePrefix="0" xfId="0"/>
    <xf numFmtId="165" fontId="13" fillId="0" borderId="5" pivotButton="0" quotePrefix="0" xfId="0"/>
    <xf numFmtId="1" fontId="14" fillId="0" borderId="0" pivotButton="0" quotePrefix="0" xfId="0"/>
    <xf numFmtId="165" fontId="13" fillId="0" borderId="2" pivotButton="0" quotePrefix="0" xfId="0"/>
    <xf numFmtId="165" fontId="15" fillId="0" borderId="0" applyAlignment="1" pivotButton="0" quotePrefix="0" xfId="0">
      <alignment horizontal="right"/>
    </xf>
    <xf numFmtId="0" fontId="11" fillId="0" borderId="0" applyAlignment="1" pivotButton="0" quotePrefix="0" xfId="0">
      <alignment horizontal="left" indent="1"/>
    </xf>
    <xf numFmtId="166" fontId="11" fillId="0" borderId="0" pivotButton="0" quotePrefix="0" xfId="2"/>
    <xf numFmtId="0" fontId="13" fillId="5" borderId="0" applyAlignment="1" pivotButton="0" quotePrefix="0" xfId="0">
      <alignment horizontal="centerContinuous"/>
    </xf>
    <xf numFmtId="168" fontId="18" fillId="0" borderId="0" pivotButton="0" quotePrefix="0" xfId="0"/>
    <xf numFmtId="0" fontId="15" fillId="0" borderId="0" pivotButton="0" quotePrefix="0" xfId="0"/>
    <xf numFmtId="168" fontId="14" fillId="0" borderId="2" applyAlignment="1" pivotButton="0" quotePrefix="0" xfId="0">
      <alignment horizontal="right"/>
    </xf>
    <xf numFmtId="49" fontId="9" fillId="3" borderId="0" applyAlignment="1" pivotButton="0" quotePrefix="0" xfId="0">
      <alignment horizontal="right"/>
    </xf>
    <xf numFmtId="165" fontId="5" fillId="0" borderId="0" pivotButton="0" quotePrefix="0" xfId="0"/>
    <xf numFmtId="164" fontId="8" fillId="2" borderId="0" applyAlignment="1" applyProtection="1" pivotButton="0" quotePrefix="0" xfId="3">
      <alignment horizontal="left"/>
      <protection locked="0" hidden="0"/>
    </xf>
    <xf numFmtId="164" fontId="5" fillId="0" borderId="0" applyProtection="1" pivotButton="0" quotePrefix="0" xfId="3">
      <protection locked="0" hidden="0"/>
    </xf>
    <xf numFmtId="164" fontId="10" fillId="0" borderId="0" applyProtection="1" pivotButton="0" quotePrefix="0" xfId="3">
      <protection locked="0" hidden="0"/>
    </xf>
    <xf numFmtId="164" fontId="11" fillId="0" borderId="0" applyAlignment="1" pivotButton="0" quotePrefix="0" xfId="3">
      <alignment horizontal="right"/>
    </xf>
    <xf numFmtId="164" fontId="10" fillId="0" borderId="0" applyAlignment="1" applyProtection="1" pivotButton="0" quotePrefix="0" xfId="3">
      <alignment horizontal="center"/>
      <protection locked="0" hidden="0"/>
    </xf>
    <xf numFmtId="165" fontId="5" fillId="0" borderId="0" pivotButton="0" quotePrefix="0" xfId="0"/>
    <xf numFmtId="166" fontId="14" fillId="0" borderId="0" pivotButton="0" quotePrefix="0" xfId="0"/>
    <xf numFmtId="166" fontId="15" fillId="0" borderId="0" applyAlignment="1" pivotButton="0" quotePrefix="0" xfId="2">
      <alignment horizontal="right"/>
    </xf>
    <xf numFmtId="166" fontId="14" fillId="0" borderId="0" pivotButton="0" quotePrefix="0" xfId="2"/>
    <xf numFmtId="167" fontId="14" fillId="0" borderId="0" applyProtection="1" pivotButton="0" quotePrefix="0" xfId="0">
      <protection locked="0" hidden="0"/>
    </xf>
    <xf numFmtId="165" fontId="18" fillId="0" borderId="0" pivotButton="0" quotePrefix="0" xfId="0"/>
    <xf numFmtId="165" fontId="15" fillId="0" borderId="1" pivotButton="0" quotePrefix="0" xfId="0"/>
    <xf numFmtId="168" fontId="13" fillId="0" borderId="0" pivotButton="0" quotePrefix="0" xfId="0"/>
    <xf numFmtId="165" fontId="15" fillId="0" borderId="0" pivotButton="0" quotePrefix="0" xfId="0"/>
    <xf numFmtId="168" fontId="13" fillId="0" borderId="2" pivotButton="0" quotePrefix="0" xfId="0"/>
    <xf numFmtId="168" fontId="14" fillId="0" borderId="2" applyAlignment="1" pivotButton="0" quotePrefix="0" xfId="0">
      <alignment horizontal="right"/>
    </xf>
    <xf numFmtId="168" fontId="13" fillId="0" borderId="3" pivotButton="0" quotePrefix="0" xfId="0"/>
    <xf numFmtId="168" fontId="18" fillId="0" borderId="0" pivotButton="0" quotePrefix="0" xfId="0"/>
    <xf numFmtId="168" fontId="14" fillId="0" borderId="2" pivotButton="0" quotePrefix="0" xfId="0"/>
    <xf numFmtId="168" fontId="15" fillId="0" borderId="0" pivotButton="0" quotePrefix="0" xfId="0"/>
    <xf numFmtId="168" fontId="13" fillId="0" borderId="4" pivotButton="0" quotePrefix="0" xfId="0"/>
    <xf numFmtId="168" fontId="13" fillId="0" borderId="5" pivotButton="0" quotePrefix="0" xfId="0"/>
    <xf numFmtId="168" fontId="14" fillId="0" borderId="0" pivotButton="0" quotePrefix="0" xfId="0"/>
    <xf numFmtId="169" fontId="11" fillId="0" borderId="0" pivotButton="0" quotePrefix="0" xfId="1"/>
    <xf numFmtId="165" fontId="9" fillId="4" borderId="0" applyAlignment="1" pivotButton="0" quotePrefix="0" xfId="0">
      <alignment vertical="center"/>
    </xf>
    <xf numFmtId="165" fontId="14" fillId="0" borderId="0" pivotButton="0" quotePrefix="0" xfId="0"/>
    <xf numFmtId="165" fontId="15" fillId="0" borderId="0" applyAlignment="1" pivotButton="0" quotePrefix="0" xfId="0">
      <alignment horizontal="right"/>
    </xf>
    <xf numFmtId="165" fontId="14" fillId="0" borderId="2" pivotButton="0" quotePrefix="0" xfId="0"/>
    <xf numFmtId="165" fontId="13" fillId="0" borderId="0" pivotButton="0" quotePrefix="0" xfId="0"/>
    <xf numFmtId="165" fontId="13" fillId="0" borderId="5" pivotButton="0" quotePrefix="0" xfId="0"/>
    <xf numFmtId="165" fontId="13" fillId="0" borderId="2" pivotButton="0" quotePrefix="0" xfId="0"/>
    <xf numFmtId="165" fontId="14" fillId="0" borderId="0" applyAlignment="1" pivotButton="0" quotePrefix="0" xfId="0">
      <alignment horizontal="right"/>
    </xf>
    <xf numFmtId="166" fontId="11" fillId="0" borderId="0" pivotButton="0" quotePrefix="0" xfId="2"/>
    <xf numFmtId="37" fontId="20" fillId="3" borderId="0" applyAlignment="1" pivotButton="0" quotePrefix="0" xfId="0">
      <alignment vertical="top"/>
    </xf>
    <xf numFmtId="49" fontId="20" fillId="3" borderId="0" applyAlignment="1" pivotButton="0" quotePrefix="0" xfId="0">
      <alignment horizontal="right"/>
    </xf>
    <xf numFmtId="164" fontId="20" fillId="0" borderId="0" applyAlignment="1" pivotButton="0" quotePrefix="0" xfId="3">
      <alignment horizontal="right"/>
    </xf>
    <xf numFmtId="164" fontId="20" fillId="0" borderId="0" applyProtection="1" pivotButton="0" quotePrefix="0" xfId="3">
      <protection locked="0" hidden="0"/>
    </xf>
    <xf numFmtId="164" fontId="20" fillId="0" borderId="0" applyAlignment="1" applyProtection="1" pivotButton="0" quotePrefix="0" xfId="3">
      <alignment horizontal="center"/>
      <protection locked="0" hidden="0"/>
    </xf>
    <xf numFmtId="37" fontId="20" fillId="4" borderId="0" applyAlignment="1" pivotButton="0" quotePrefix="0" xfId="0">
      <alignment vertical="center"/>
    </xf>
    <xf numFmtId="0" fontId="20" fillId="0" borderId="0" pivotButton="0" quotePrefix="0" xfId="0"/>
    <xf numFmtId="165" fontId="20" fillId="0" borderId="0" pivotButton="0" quotePrefix="0" xfId="0"/>
    <xf numFmtId="0" fontId="21" fillId="0" borderId="0" pivotButton="0" quotePrefix="0" xfId="0"/>
    <xf numFmtId="166" fontId="20" fillId="0" borderId="0" pivotButton="0" quotePrefix="0" xfId="0"/>
    <xf numFmtId="166" fontId="20" fillId="0" borderId="0" applyAlignment="1" pivotButton="0" quotePrefix="0" xfId="2">
      <alignment horizontal="right"/>
    </xf>
    <xf numFmtId="166" fontId="20" fillId="0" borderId="0" pivotButton="0" quotePrefix="0" xfId="2"/>
    <xf numFmtId="38" fontId="20" fillId="0" borderId="0" pivotButton="0" quotePrefix="0" xfId="0"/>
    <xf numFmtId="40" fontId="20" fillId="0" borderId="0" pivotButton="0" quotePrefix="0" xfId="0"/>
    <xf numFmtId="167" fontId="20" fillId="0" borderId="0" applyProtection="1" pivotButton="0" quotePrefix="0" xfId="0">
      <protection locked="0" hidden="0"/>
    </xf>
    <xf numFmtId="165" fontId="21" fillId="0" borderId="0" pivotButton="0" quotePrefix="0" xfId="0"/>
    <xf numFmtId="165" fontId="21" fillId="0" borderId="1" pivotButton="0" quotePrefix="0" xfId="0"/>
    <xf numFmtId="168" fontId="20" fillId="0" borderId="0" pivotButton="0" quotePrefix="0" xfId="0"/>
    <xf numFmtId="168" fontId="20" fillId="0" borderId="2" pivotButton="0" quotePrefix="0" xfId="0"/>
    <xf numFmtId="168" fontId="20" fillId="0" borderId="2" applyAlignment="1" pivotButton="0" quotePrefix="0" xfId="0">
      <alignment horizontal="right"/>
    </xf>
    <xf numFmtId="168" fontId="20" fillId="0" borderId="3" pivotButton="0" quotePrefix="0" xfId="0"/>
    <xf numFmtId="168" fontId="20" fillId="0" borderId="4" pivotButton="0" quotePrefix="0" xfId="0"/>
    <xf numFmtId="168" fontId="20" fillId="0" borderId="5" pivotButton="0" quotePrefix="0" xfId="0"/>
    <xf numFmtId="169" fontId="20" fillId="0" borderId="0" pivotButton="0" quotePrefix="0" xfId="1"/>
    <xf numFmtId="165" fontId="20" fillId="4" borderId="0" applyAlignment="1" pivotButton="0" quotePrefix="0" xfId="0">
      <alignment vertical="center"/>
    </xf>
    <xf numFmtId="165" fontId="20" fillId="0" borderId="0" applyAlignment="1" pivotButton="0" quotePrefix="0" xfId="0">
      <alignment horizontal="right"/>
    </xf>
    <xf numFmtId="165" fontId="20" fillId="0" borderId="2" pivotButton="0" quotePrefix="0" xfId="0"/>
    <xf numFmtId="165" fontId="20" fillId="0" borderId="5" pivotButton="0" quotePrefix="0" xfId="0"/>
    <xf numFmtId="1" fontId="20" fillId="0" borderId="0" pivotButton="0" quotePrefix="0" xfId="0"/>
    <xf numFmtId="0" fontId="20" fillId="5" borderId="0" applyAlignment="1" pivotButton="0" quotePrefix="0" xfId="0">
      <alignment horizontal="centerContinuous"/>
    </xf>
    <xf numFmtId="0" fontId="22" fillId="0" borderId="0" applyAlignment="1" pivotButton="0" quotePrefix="0" xfId="0">
      <alignment horizontal="left" vertical="center"/>
    </xf>
    <xf numFmtId="0" fontId="2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4" fillId="6" borderId="6" applyAlignment="1" pivotButton="0" quotePrefix="0" xfId="0">
      <alignment vertical="top" wrapText="1"/>
    </xf>
    <xf numFmtId="0" fontId="0" fillId="0" borderId="6" applyAlignment="1" pivotButton="0" quotePrefix="0" xfId="0">
      <alignment vertical="top" wrapText="1"/>
    </xf>
    <xf numFmtId="0" fontId="23" fillId="6" borderId="6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Percent" xfId="2" builtinId="5"/>
    <cellStyle name="Comma 2" xfId="3"/>
    <cellStyle name="Normal 2 2" xfId="4"/>
    <cellStyle name="Hyperlink 2 2" xfId="5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indexed="65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1290291773478357"/>
          <y val="0.11494971400294"/>
          <w val="0.7676286821349663"/>
          <h val="0.7778494185454174"/>
        </manualLayout>
      </layout>
      <barChart>
        <barDir val="col"/>
        <grouping val="clustered"/>
        <varyColors val="0"/>
        <ser>
          <idx val="0"/>
          <order val="0"/>
          <tx>
            <strRef>
              <f>'Blank 3 Statement Model'!$A$130</f>
              <strCache>
                <ptCount val="1"/>
                <pt idx="0">
                  <v>Revenue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'Blank 3 Statement Model'!$B$2:$D$2</f>
              <numCache>
                <formatCode>@</formatCode>
                <ptCount val="3"/>
                <pt idx="0">
                  <v>2016</v>
                </pt>
                <pt idx="1">
                  <v>2017</v>
                </pt>
                <pt idx="2">
                  <v>2018</v>
                </pt>
              </numCache>
            </numRef>
          </cat>
          <val>
            <numRef>
              <f>'Blank 3 Statement Model'!$B$130:$D$130</f>
              <numCache>
                <formatCode>#,##0_);\(#,##0\);\-</formatCode>
                <ptCount val="3"/>
                <pt idx="0">
                  <v>81422</v>
                </pt>
                <pt idx="1">
                  <v>86698</v>
                </pt>
                <pt idx="2">
                  <v>93085.92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75"/>
        <axId val="635279256"/>
        <axId val="635280568"/>
      </barChart>
      <lineChart>
        <grouping val="standard"/>
        <varyColors val="0"/>
        <ser>
          <idx val="1"/>
          <order val="1"/>
          <tx>
            <strRef>
              <f>'Blank 3 Statement Model'!$A$132</f>
              <strCache>
                <ptCount val="1"/>
                <pt idx="0">
                  <v>EBITDA Margin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'Blank 3 Statement Model'!$B$2:$D$2</f>
              <numCache>
                <formatCode>@</formatCode>
                <ptCount val="3"/>
                <pt idx="0">
                  <v>2016</v>
                </pt>
                <pt idx="1">
                  <v>2017</v>
                </pt>
                <pt idx="2">
                  <v>2018</v>
                </pt>
              </numCache>
            </numRef>
          </cat>
          <val>
            <numRef>
              <f>'Blank 3 Statement Model'!$B$132:$D$132</f>
              <numCache>
                <formatCode>0.0%</formatCode>
                <ptCount val="3"/>
                <pt idx="0">
                  <v>0.1491734420672546</v>
                </pt>
                <pt idx="1">
                  <v>0.1617223003990865</v>
                </pt>
                <pt idx="2">
                  <v>0.1549664378887807</v>
                </pt>
              </numCache>
            </numRef>
          </val>
          <smooth val="0"/>
        </ser>
        <ser>
          <idx val="2"/>
          <order val="2"/>
          <tx>
            <strRef>
              <f>'Blank 3 Statement Model'!$A$134</f>
              <strCache>
                <ptCount val="1"/>
                <pt idx="0">
                  <v>Net Income Margin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'Blank 3 Statement Model'!$B$134:$D$134</f>
              <numCache>
                <formatCode>0.0%</formatCode>
                <ptCount val="3"/>
                <pt idx="0">
                  <v>0.06368057773083442</v>
                </pt>
                <pt idx="1">
                  <v>0.08707236614454775</v>
                </pt>
                <pt idx="2">
                  <v>0.09355005414352681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553547456"/>
        <axId val="405025360"/>
      </lineChart>
      <catAx>
        <axId val="635279256"/>
        <scaling>
          <orientation val="minMax"/>
        </scaling>
        <delete val="0"/>
        <axPos val="b"/>
        <numFmt formatCode="@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635280568"/>
        <crosses val="autoZero"/>
        <auto val="1"/>
        <lblAlgn val="ctr"/>
        <lblOffset val="100"/>
        <noMultiLvlLbl val="0"/>
      </catAx>
      <valAx>
        <axId val="635280568"/>
        <scaling>
          <orientation val="minMax"/>
        </scaling>
        <delete val="0"/>
        <axPos val="l"/>
        <numFmt formatCode="#,##0_);\(#,##0\);\-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635279256"/>
        <crosses val="autoZero"/>
        <crossBetween val="between"/>
      </valAx>
      <catAx>
        <axId val="553547456"/>
        <scaling>
          <orientation val="minMax"/>
        </scaling>
        <delete val="1"/>
        <axPos val="b"/>
        <numFmt formatCode="@" sourceLinked="1"/>
        <majorTickMark val="out"/>
        <minorTickMark val="none"/>
        <tickLblPos val="nextTo"/>
        <crossAx val="405025360"/>
        <crosses val="autoZero"/>
        <auto val="1"/>
        <lblAlgn val="ctr"/>
        <lblOffset val="100"/>
        <noMultiLvlLbl val="0"/>
      </catAx>
      <valAx>
        <axId val="405025360"/>
        <scaling>
          <orientation val="minMax"/>
          <max val="0.3"/>
        </scaling>
        <delete val="0"/>
        <axPos val="r"/>
        <numFmt formatCode="0.0%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553547456"/>
        <crosses val="max"/>
        <crossBetween val="between"/>
      </valAx>
    </plotArea>
    <legend>
      <legendPos val="t"/>
      <layout>
        <manualLayout>
          <xMode val="edge"/>
          <yMode val="edge"/>
          <wMode val="factor"/>
          <hMode val="factor"/>
          <x val="0.1233348849711854"/>
          <y val="0.05083179297597042"/>
          <w val="0.7640077757270634"/>
          <h val="0.07794514664041267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noFill xmlns:a="http://schemas.openxmlformats.org/drawingml/2006/main"/>
    <a:ln xmlns:a="http://schemas.openxmlformats.org/drawingml/2006/main" w="9525" cap="flat" cmpd="sng" algn="ctr">
      <a:noFill/>
      <a:prstDash val="solid"/>
      <a:round/>
    </a:ln>
  </spPr>
</chartSpace>
</file>

<file path=xl/charts/chart2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1290291773478357"/>
          <y val="0.11494971400294"/>
          <w val="0.7676286821349663"/>
          <h val="0.7778494185454174"/>
        </manualLayout>
      </layout>
      <barChart>
        <barDir val="col"/>
        <grouping val="stacked"/>
        <varyColors val="0"/>
        <ser>
          <idx val="0"/>
          <order val="0"/>
          <tx>
            <strRef>
              <f>'Blank 3 Statement Model'!$A$138</f>
              <strCache>
                <ptCount val="1"/>
                <pt idx="0">
                  <v>Investing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'Blank 3 Statement Model'!$B$2:$D$2</f>
              <numCache>
                <formatCode>@</formatCode>
                <ptCount val="3"/>
                <pt idx="0">
                  <v>2016</v>
                </pt>
                <pt idx="1">
                  <v>2017</v>
                </pt>
                <pt idx="2">
                  <v>2018</v>
                </pt>
              </numCache>
            </numRef>
          </cat>
          <val>
            <numRef>
              <f>'Blank 3 Statement Model'!$B$138:$D$138</f>
              <numCache>
                <formatCode>#,##0_);\(#,##0\);\-</formatCode>
                <ptCount val="3"/>
                <pt idx="0">
                  <v>-3004.999999999997</v>
                </pt>
                <pt idx="1">
                  <v>-3911.000000000002</v>
                </pt>
                <pt idx="2">
                  <v>-3710.835360000005</v>
                </pt>
              </numCache>
            </numRef>
          </val>
        </ser>
        <ser>
          <idx val="1"/>
          <order val="1"/>
          <tx>
            <strRef>
              <f>'Blank 3 Statement Model'!$A$139</f>
              <strCache>
                <ptCount val="1"/>
                <pt idx="0">
                  <v>Financing</v>
                </pt>
              </strCache>
            </strRef>
          </tx>
          <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'Blank 3 Statement Model'!$B$2:$D$2</f>
              <numCache>
                <formatCode>@</formatCode>
                <ptCount val="3"/>
                <pt idx="0">
                  <v>2016</v>
                </pt>
                <pt idx="1">
                  <v>2017</v>
                </pt>
                <pt idx="2">
                  <v>2018</v>
                </pt>
              </numCache>
            </numRef>
          </cat>
          <val>
            <numRef>
              <f>'Blank 3 Statement Model'!$B$139:$D$139</f>
              <numCache>
                <formatCode>#,##0_);\(#,##0\);\-</formatCode>
                <ptCount val="3"/>
                <pt idx="0">
                  <v>-4312</v>
                </pt>
                <pt idx="1">
                  <v>-4209</v>
                </pt>
                <pt idx="2">
                  <v>-2930.975084800003</v>
                </pt>
              </numCache>
            </numRef>
          </val>
        </ser>
        <ser>
          <idx val="2"/>
          <order val="2"/>
          <tx>
            <strRef>
              <f>'Blank 3 Statement Model'!$A$137</f>
              <strCache>
                <ptCount val="1"/>
                <pt idx="0">
                  <v>Operations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'Blank 3 Statement Model'!$B$2:$D$2</f>
              <numCache>
                <formatCode>@</formatCode>
                <ptCount val="3"/>
                <pt idx="0">
                  <v>2016</v>
                </pt>
                <pt idx="1">
                  <v>2017</v>
                </pt>
                <pt idx="2">
                  <v>2018</v>
                </pt>
              </numCache>
            </numRef>
          </cat>
          <val>
            <numRef>
              <f>'Blank 3 Statement Model'!$B$137:$D$137</f>
              <numCache>
                <formatCode>#,##0_);\(#,##0\);\-</formatCode>
                <ptCount val="3"/>
                <pt idx="0">
                  <v>6935</v>
                </pt>
                <pt idx="1">
                  <v>8749</v>
                </pt>
                <pt idx="2">
                  <v>10882.59389271234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75"/>
        <overlap val="100"/>
        <axId val="635279256"/>
        <axId val="635280568"/>
      </barChart>
      <lineChart>
        <grouping val="standard"/>
        <varyColors val="0"/>
        <ser>
          <idx val="3"/>
          <order val="3"/>
          <tx>
            <strRef>
              <f>'Blank 3 Statement Model'!$A$140</f>
              <strCache>
                <ptCount val="1"/>
                <pt idx="0">
                  <v>Change in Cash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'Blank 3 Statement Model'!$B$140:$D$140</f>
              <numCache>
                <formatCode>#,##0_);\(#,##0\);\-</formatCode>
                <ptCount val="3"/>
                <pt idx="0">
                  <v>-381.9999999999973</v>
                </pt>
                <pt idx="1">
                  <v>628.9999999999982</v>
                </pt>
                <pt idx="2">
                  <v>4240.783447912328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635279256"/>
        <axId val="635280568"/>
      </lineChart>
      <catAx>
        <axId val="635279256"/>
        <scaling>
          <orientation val="minMax"/>
        </scaling>
        <delete val="0"/>
        <axPos val="b"/>
        <numFmt formatCode="@" sourceLinked="1"/>
        <majorTickMark val="none"/>
        <minorTickMark val="none"/>
        <tickLblPos val="low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635280568"/>
        <crosses val="autoZero"/>
        <auto val="1"/>
        <lblAlgn val="ctr"/>
        <lblOffset val="100"/>
        <noMultiLvlLbl val="0"/>
      </catAx>
      <valAx>
        <axId val="635280568"/>
        <scaling>
          <orientation val="minMax"/>
        </scaling>
        <delete val="0"/>
        <axPos val="l"/>
        <numFmt formatCode="#,##0_);\(#,##0\);\-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635279256"/>
        <crosses val="autoZero"/>
        <crossBetween val="between"/>
      </valAx>
    </plotArea>
    <legend>
      <legendPos val="t"/>
      <layout>
        <manualLayout>
          <xMode val="edge"/>
          <yMode val="edge"/>
          <wMode val="factor"/>
          <hMode val="factor"/>
          <x val="0.1233348849711854"/>
          <y val="0.05083179297597042"/>
          <w val="0.8663467233123753"/>
          <h val="0.07801721799964981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noFill xmlns:a="http://schemas.openxmlformats.org/drawingml/2006/main"/>
    <a:ln xmlns:a="http://schemas.openxmlformats.org/drawingml/2006/main" w="9525" cap="flat" cmpd="sng" algn="ctr">
      <a:noFill/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twoCellAnchor>
    <from>
      <col>0</col>
      <colOff>56110</colOff>
      <row>143</row>
      <rowOff>85090</rowOff>
    </from>
    <to>
      <col>2</col>
      <colOff>900198</colOff>
      <row>158</row>
      <rowOff>149051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0</col>
      <colOff>0</colOff>
      <row>160</row>
      <rowOff>59364</rowOff>
    </from>
    <to>
      <col>2</col>
      <colOff>873702</colOff>
      <row>175</row>
      <rowOff>125865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18"/>
  <sheetViews>
    <sheetView showGridLines="0" tabSelected="1" zoomScale="120" zoomScaleNormal="120" workbookViewId="0">
      <pane ySplit="3" topLeftCell="A112" activePane="bottomLeft" state="frozen"/>
      <selection pane="bottomLeft" activeCell="C10" sqref="C10"/>
    </sheetView>
  </sheetViews>
  <sheetFormatPr baseColWidth="8" defaultColWidth="9.08984375" defaultRowHeight="14" outlineLevelRow="1"/>
  <cols>
    <col width="41.1796875" customWidth="1" style="14" min="1" max="1"/>
    <col width="13.08984375" customWidth="1" style="14" min="2" max="9"/>
    <col hidden="1" width="13" customWidth="1" min="5" max="5"/>
    <col width="2.36328125" customWidth="1" style="14" min="10" max="10"/>
    <col width="34.54296875" customWidth="1" style="14" min="11" max="11"/>
    <col width="9.08984375" customWidth="1" style="14" min="12" max="16384"/>
  </cols>
  <sheetData>
    <row r="1" ht="19.75" customFormat="1" customHeight="1" s="3">
      <c r="A1" s="4" t="inlineStr">
        <is>
          <t>3 Statement Model</t>
        </is>
      </c>
      <c r="B1" s="90" t="n"/>
      <c r="C1" s="90" t="n"/>
      <c r="D1" s="90" t="n"/>
    </row>
    <row r="2" ht="16.75" customFormat="1" customHeight="1" s="3">
      <c r="A2" s="57" t="inlineStr">
        <is>
          <t>USD thousands, except per share data</t>
        </is>
      </c>
      <c r="B2" s="91" t="n">
        <v>2023</v>
      </c>
      <c r="C2" s="91" t="n">
        <v>2024</v>
      </c>
      <c r="D2" s="91" t="n">
        <v>2025</v>
      </c>
    </row>
    <row r="3" ht="14.5" customFormat="1" customHeight="1" s="58">
      <c r="A3" s="59" t="inlineStr">
        <is>
          <t>Balance Sheet Check (A - (L + E))</t>
        </is>
      </c>
      <c r="B3" s="92">
        <f>IFERROR(IF(ABS(B62-B79)&lt;0.01,0,B62-B79),0)</f>
        <v/>
      </c>
      <c r="C3" s="92">
        <f>IFERROR(IF(ABS(C62-C79)&lt;0.01,0,C62-C79),0)</f>
        <v/>
      </c>
      <c r="D3" s="92">
        <f>IFERROR(IF(ABS(D62-D79)&lt;0.01,0,D62-D79),0)</f>
        <v/>
      </c>
    </row>
    <row r="4" ht="14.5" customFormat="1" customHeight="1" s="58">
      <c r="A4" s="59" t="n"/>
      <c r="B4" s="93" t="n"/>
      <c r="C4" s="94" t="n"/>
      <c r="D4" s="94" t="n"/>
    </row>
    <row r="5" ht="19.75" customFormat="1" customHeight="1" s="12">
      <c r="A5" s="10" t="inlineStr">
        <is>
          <t>Assumptions &amp; Drivers</t>
        </is>
      </c>
      <c r="B5" s="95" t="n"/>
      <c r="C5" s="95" t="n"/>
      <c r="D5" s="95" t="n"/>
    </row>
    <row r="6" outlineLevel="1" ht="14.5" customHeight="1">
      <c r="A6" s="13" t="n"/>
      <c r="B6" s="96" t="n"/>
      <c r="C6" s="96" t="n"/>
      <c r="D6" s="96" t="n"/>
    </row>
    <row r="7" outlineLevel="1" ht="14.5" customHeight="1">
      <c r="A7" s="13" t="inlineStr">
        <is>
          <t>Days in Period</t>
        </is>
      </c>
      <c r="B7" s="97" t="n">
        <v>365</v>
      </c>
      <c r="C7" s="97" t="n">
        <v>365</v>
      </c>
      <c r="D7" s="97" t="n">
        <v>365</v>
      </c>
    </row>
    <row r="8" outlineLevel="1" ht="14.5" customFormat="1" customHeight="1" s="17">
      <c r="A8" t="inlineStr">
        <is>
          <t>Tax Rate Assumption</t>
        </is>
      </c>
      <c r="B8" s="98" t="n">
        <v>0.23</v>
      </c>
      <c r="C8" s="96">
        <f>B8</f>
        <v/>
      </c>
      <c r="D8" s="96">
        <f>B8</f>
        <v/>
      </c>
    </row>
    <row r="9" outlineLevel="1" ht="14.5" customHeight="1">
      <c r="A9" s="13" t="inlineStr">
        <is>
          <t>Income Statement</t>
        </is>
      </c>
      <c r="B9" s="96" t="n"/>
      <c r="C9" s="99" t="n"/>
      <c r="D9" s="96" t="n"/>
    </row>
    <row r="10" outlineLevel="1" ht="14.5" customHeight="1">
      <c r="A10" s="14" t="inlineStr">
        <is>
          <t>Sales Growth</t>
        </is>
      </c>
      <c r="B10" s="100" t="n"/>
      <c r="C10" s="101">
        <f>IFERROR(C32/B32-1,0)</f>
        <v/>
      </c>
      <c r="D10" s="101">
        <f>IFERROR(D32/C32-1,0)</f>
        <v/>
      </c>
    </row>
    <row r="11" outlineLevel="1" ht="14.5" customHeight="1">
      <c r="A11" s="14" t="inlineStr">
        <is>
          <t>Gross Margin</t>
        </is>
      </c>
      <c r="B11" s="101">
        <f>IFERROR(B34/B32,0)</f>
        <v/>
      </c>
      <c r="C11" s="101">
        <f>IFERROR(C34/C32,0)</f>
        <v/>
      </c>
      <c r="D11" s="101">
        <f>IFERROR(D34/D32,0)</f>
        <v/>
      </c>
    </row>
    <row r="12" outlineLevel="1" ht="14.5" customHeight="1">
      <c r="A12" s="14" t="inlineStr">
        <is>
          <t>Distribution Expense (Percent of Sales)</t>
        </is>
      </c>
      <c r="B12" s="101">
        <f>IFERROR(B35/B32,0)</f>
        <v/>
      </c>
      <c r="C12" s="101">
        <f>IFERROR(C35/C32,0)</f>
        <v/>
      </c>
      <c r="D12" s="101">
        <f>IFERROR(D35/D32,0)</f>
        <v/>
      </c>
    </row>
    <row r="13" outlineLevel="1" ht="14.5" customHeight="1">
      <c r="A13" s="14" t="inlineStr">
        <is>
          <t>Marketing &amp; Admin Expense (Fixed Cost)</t>
        </is>
      </c>
      <c r="B13" s="102">
        <f>IFERROR(B36,0)</f>
        <v/>
      </c>
      <c r="C13" s="102">
        <f>IFERROR(C36,0)</f>
        <v/>
      </c>
      <c r="D13" s="102">
        <f>IFERROR(D36,0)</f>
        <v/>
      </c>
    </row>
    <row r="14" outlineLevel="1" ht="14.5" customHeight="1">
      <c r="A14" s="14" t="inlineStr">
        <is>
          <t>Research Expense (Percent of Sales)</t>
        </is>
      </c>
      <c r="B14" s="101">
        <f>IFERROR(B37/B32,0)</f>
        <v/>
      </c>
      <c r="C14" s="101">
        <f>IFERROR(C37/C32,0)</f>
        <v/>
      </c>
      <c r="D14" s="101">
        <f>IFERROR(D37/D32,0)</f>
        <v/>
      </c>
    </row>
    <row r="15" outlineLevel="1" ht="14.5" customHeight="1">
      <c r="A15" s="14" t="inlineStr">
        <is>
          <t>Depreciation (Percent of Sales)</t>
        </is>
      </c>
      <c r="B15" s="101">
        <f>IFERROR(B38/B32,0)</f>
        <v/>
      </c>
      <c r="C15" s="101">
        <f>IFERROR(C38/C32,0)</f>
        <v/>
      </c>
      <c r="D15" s="101">
        <f>IFERROR(D38/D32,0)</f>
        <v/>
      </c>
    </row>
    <row r="16" outlineLevel="1" ht="14.5" customHeight="1">
      <c r="A16" s="14" t="inlineStr">
        <is>
          <t>Long Term Debt Interest (Average Debt)</t>
        </is>
      </c>
      <c r="B16" s="101">
        <f>IFERROR(B40/B74,0)</f>
        <v/>
      </c>
      <c r="C16" s="101">
        <f>IFERROR(C40/AVERAGE(B74,C74),0)</f>
        <v/>
      </c>
      <c r="D16" s="101">
        <f>IFERROR(D40/AVERAGE(C74,D74),0)</f>
        <v/>
      </c>
    </row>
    <row r="17" outlineLevel="1" ht="14.5" customHeight="1">
      <c r="A17" s="14" t="inlineStr">
        <is>
          <t>Tax Rate (Percent of EBT)</t>
        </is>
      </c>
      <c r="B17" s="101">
        <f>IFERROR(B42/B41,0)</f>
        <v/>
      </c>
      <c r="C17" s="101">
        <f>IFERROR(C42/C41,0)</f>
        <v/>
      </c>
      <c r="D17" s="101">
        <f>IFERROR(D42/D41,0)</f>
        <v/>
      </c>
    </row>
    <row r="18" outlineLevel="1" ht="14.5" customHeight="1">
      <c r="B18" s="96" t="n"/>
      <c r="C18" s="96" t="n"/>
      <c r="D18" s="96" t="n"/>
    </row>
    <row r="19" outlineLevel="1" ht="14.5" customHeight="1">
      <c r="A19" s="13" t="inlineStr">
        <is>
          <t>Balance Sheet</t>
        </is>
      </c>
      <c r="B19" s="96" t="n"/>
      <c r="C19" s="96" t="n"/>
      <c r="D19" s="96" t="n"/>
    </row>
    <row r="20" outlineLevel="1" ht="14.5" customHeight="1">
      <c r="A20" s="14" t="inlineStr">
        <is>
          <t>Capital Asset Turnover Ratio</t>
        </is>
      </c>
      <c r="B20" s="103">
        <f>IFERROR(B32/B61,0)</f>
        <v/>
      </c>
      <c r="C20" s="103">
        <f>IFERROR(C32/C61,0)</f>
        <v/>
      </c>
      <c r="D20" s="103">
        <f>IFERROR(D32/D61,0)</f>
        <v/>
      </c>
    </row>
    <row r="21" outlineLevel="1" ht="14.5" customHeight="1">
      <c r="A21" s="14" t="inlineStr">
        <is>
          <t>Receivable Days (Sales Basis)</t>
        </is>
      </c>
      <c r="B21" s="102">
        <f>IFERROR(B53/B32*B7,0)</f>
        <v/>
      </c>
      <c r="C21" s="102">
        <f>IFERROR(C53/C32*C7,0)</f>
        <v/>
      </c>
      <c r="D21" s="102">
        <f>IFERROR(D53/D32*D7,0)</f>
        <v/>
      </c>
    </row>
    <row r="22" outlineLevel="1" ht="14.5" customHeight="1">
      <c r="A22" s="14" t="inlineStr">
        <is>
          <t>Inventory Days (COGS Basis)</t>
        </is>
      </c>
      <c r="B22" s="102">
        <f>IFERROR(B54/B33*B7,0)</f>
        <v/>
      </c>
      <c r="C22" s="102">
        <f>IFERROR(C54/C33*C7,0)</f>
        <v/>
      </c>
      <c r="D22" s="102">
        <f>IFERROR(D54/D33*D7,0)</f>
        <v/>
      </c>
    </row>
    <row r="23" outlineLevel="1" ht="14.5" customHeight="1">
      <c r="A23" s="14" t="inlineStr">
        <is>
          <t>Payable Days (COGS Basis)</t>
        </is>
      </c>
      <c r="B23" s="102">
        <f>IFERROR(B66/B33*$B$7,0)</f>
        <v/>
      </c>
      <c r="C23" s="102">
        <f>IFERROR(C66/C33*$B$7,0)</f>
        <v/>
      </c>
      <c r="D23" s="102">
        <f>IFERROR(D66/D33*$B$7,0)</f>
        <v/>
      </c>
    </row>
    <row r="24" outlineLevel="1" ht="14.5" customHeight="1">
      <c r="A24" s="14" t="inlineStr">
        <is>
          <t>Income Tax Payable</t>
        </is>
      </c>
      <c r="B24" s="101">
        <f>IFERROR(B71/B42*$B$7,0)</f>
        <v/>
      </c>
      <c r="C24" s="101">
        <f>IFERROR(C71/C42*$B$7,0)</f>
        <v/>
      </c>
      <c r="D24" s="101">
        <f>IFERROR(D71/D42*$B$7,0)</f>
        <v/>
      </c>
    </row>
    <row r="25" outlineLevel="1" ht="14.5" customHeight="1">
      <c r="A25" s="14" t="inlineStr">
        <is>
          <t>Long Term Debt</t>
        </is>
      </c>
      <c r="B25" s="102">
        <f>IFERROR(B74,0)</f>
        <v/>
      </c>
      <c r="C25" s="102">
        <f>IFERROR(C74,0)</f>
        <v/>
      </c>
      <c r="D25" s="102">
        <f>IFERROR(D74,0)</f>
        <v/>
      </c>
    </row>
    <row r="26" outlineLevel="1" ht="14.5" customHeight="1">
      <c r="A26" s="14" t="inlineStr">
        <is>
          <t>Common Share Capital</t>
        </is>
      </c>
      <c r="B26" s="102">
        <f>IFERROR(B76,0)</f>
        <v/>
      </c>
      <c r="C26" s="102">
        <f>IFERROR(C76,0)</f>
        <v/>
      </c>
      <c r="D26" s="102">
        <f>IFERROR(D76,0)</f>
        <v/>
      </c>
    </row>
    <row r="27" outlineLevel="1" ht="14.5" customHeight="1">
      <c r="A27" s="14" t="inlineStr">
        <is>
          <t xml:space="preserve">Dividend Payout Ratio </t>
        </is>
      </c>
      <c r="B27" s="101">
        <f>IFERROR(B45/B43,0)</f>
        <v/>
      </c>
      <c r="C27" s="101">
        <f>IFERROR(C45/C43,0)</f>
        <v/>
      </c>
      <c r="D27" s="101">
        <f>IFERROR(D45/D43,0)</f>
        <v/>
      </c>
    </row>
    <row r="28" outlineLevel="1" ht="14.5" customHeight="1">
      <c r="B28" s="104" t="n"/>
      <c r="C28" s="104" t="n"/>
      <c r="D28" s="104" t="n"/>
    </row>
    <row r="29" ht="14.5" customHeight="1">
      <c r="B29" s="96" t="n"/>
      <c r="C29" s="96" t="n"/>
      <c r="D29" s="96" t="n"/>
    </row>
    <row r="30" ht="19.75" customFormat="1" customHeight="1" s="12">
      <c r="A30" s="10" t="inlineStr">
        <is>
          <t>Income Statement</t>
        </is>
      </c>
      <c r="B30" s="95" t="n"/>
      <c r="C30" s="95" t="n"/>
      <c r="D30" s="95" t="n"/>
    </row>
    <row r="31" outlineLevel="1" ht="14.5" customHeight="1">
      <c r="A31" s="13" t="n"/>
      <c r="B31" s="96" t="n"/>
      <c r="C31" s="96" t="n"/>
      <c r="D31" s="96" t="n"/>
    </row>
    <row r="32" outlineLevel="1" ht="14.5" customHeight="1">
      <c r="A32" s="13" t="inlineStr">
        <is>
          <t>Revenues</t>
        </is>
      </c>
      <c r="B32" s="105" t="n">
        <v>520</v>
      </c>
      <c r="C32" s="105" t="n">
        <v>590</v>
      </c>
      <c r="D32" s="105" t="n">
        <v>650</v>
      </c>
    </row>
    <row r="33" outlineLevel="1" ht="14.5" customHeight="1">
      <c r="A33" s="14" t="inlineStr">
        <is>
          <t>Cost of Goods Sold</t>
        </is>
      </c>
      <c r="B33" s="106" t="n">
        <v>265</v>
      </c>
      <c r="C33" s="106" t="n">
        <v>300</v>
      </c>
      <c r="D33" s="106" t="n">
        <v>330</v>
      </c>
    </row>
    <row r="34" outlineLevel="1" ht="14.5" customHeight="1">
      <c r="A34" s="27" t="inlineStr">
        <is>
          <t>Gross Profit</t>
        </is>
      </c>
      <c r="B34" s="107">
        <f>B32-B33</f>
        <v/>
      </c>
      <c r="C34" s="107">
        <f>C32-C33</f>
        <v/>
      </c>
      <c r="D34" s="107">
        <f>D32-D33</f>
        <v/>
      </c>
    </row>
    <row r="35" outlineLevel="1" ht="14.5" customHeight="1">
      <c r="A35" s="14" t="inlineStr">
        <is>
          <t>Distribution Expenses</t>
        </is>
      </c>
      <c r="B35" s="105" t="n">
        <v>70</v>
      </c>
      <c r="C35" s="105" t="n">
        <v>78</v>
      </c>
      <c r="D35" s="105" t="n">
        <v>82</v>
      </c>
    </row>
    <row r="36" outlineLevel="1" ht="14.5" customHeight="1">
      <c r="A36" s="14" t="inlineStr">
        <is>
          <t>Marketing and Administration</t>
        </is>
      </c>
      <c r="B36" s="105" t="n">
        <v>120</v>
      </c>
      <c r="C36" s="105" t="n">
        <v>130</v>
      </c>
      <c r="D36" s="105" t="n">
        <v>140</v>
      </c>
    </row>
    <row r="37" outlineLevel="1" ht="14.5" customHeight="1">
      <c r="A37" s="14" t="inlineStr">
        <is>
          <t>Research and Development</t>
        </is>
      </c>
      <c r="B37" s="105" t="n">
        <v>15</v>
      </c>
      <c r="C37" s="105" t="n">
        <v>16</v>
      </c>
      <c r="D37" s="105" t="n">
        <v>18</v>
      </c>
    </row>
    <row r="38" outlineLevel="1" ht="14.5" customHeight="1">
      <c r="A38" s="14" t="inlineStr">
        <is>
          <t>Depreciation</t>
        </is>
      </c>
      <c r="B38" s="105" t="n">
        <v>14</v>
      </c>
      <c r="C38" s="105" t="n">
        <v>15</v>
      </c>
      <c r="D38" s="105" t="n">
        <v>15</v>
      </c>
    </row>
    <row r="39" outlineLevel="1" ht="14.5" customHeight="1">
      <c r="A39" s="27" t="inlineStr">
        <is>
          <t>EBIT (Operating Profit)</t>
        </is>
      </c>
      <c r="B39" s="108">
        <f>B34-SUM(B35:B38)</f>
        <v/>
      </c>
      <c r="C39" s="108">
        <f>C34-SUM(C35:C38)</f>
        <v/>
      </c>
      <c r="D39" s="108">
        <f>D34-SUM(D35:D38)</f>
        <v/>
      </c>
      <c r="E39" s="17" t="n"/>
    </row>
    <row r="40" outlineLevel="1" ht="14.5" customHeight="1">
      <c r="A40" s="14" t="inlineStr">
        <is>
          <t>Interest</t>
        </is>
      </c>
      <c r="B40" s="105" t="n">
        <v>6</v>
      </c>
      <c r="C40" s="105" t="n">
        <v>6.5</v>
      </c>
      <c r="D40" s="105" t="n">
        <v>7</v>
      </c>
      <c r="E40" s="17" t="n"/>
    </row>
    <row r="41" outlineLevel="1" ht="14.5" customHeight="1">
      <c r="A41" s="30" t="inlineStr">
        <is>
          <t>Income Before Taxes</t>
        </is>
      </c>
      <c r="B41" s="109">
        <f>B39-B40</f>
        <v/>
      </c>
      <c r="C41" s="109">
        <f>C39-C40</f>
        <v/>
      </c>
      <c r="D41" s="109">
        <f>D39-D40</f>
        <v/>
      </c>
      <c r="E41" s="17" t="n"/>
    </row>
    <row r="42" outlineLevel="1" ht="14.5" customHeight="1">
      <c r="A42" s="14" t="inlineStr">
        <is>
          <t>Taxes</t>
        </is>
      </c>
      <c r="B42" s="97">
        <f>IF(B41&gt;0,B41*$B$8,0)</f>
        <v/>
      </c>
      <c r="C42" s="97">
        <f>IF(C41&gt;0,C41*$B$8,0)</f>
        <v/>
      </c>
      <c r="D42" s="97">
        <f>IF(D41&gt;0,D41*$B$8,0)</f>
        <v/>
      </c>
      <c r="E42" s="17" t="n"/>
    </row>
    <row r="43" outlineLevel="1" ht="14.5" customHeight="1" thickBot="1">
      <c r="A43" s="32" t="inlineStr">
        <is>
          <t>Net Income</t>
        </is>
      </c>
      <c r="B43" s="110">
        <f>B41-B42</f>
        <v/>
      </c>
      <c r="C43" s="110">
        <f>C41-C42</f>
        <v/>
      </c>
      <c r="D43" s="110">
        <f>D41-D42</f>
        <v/>
      </c>
    </row>
    <row r="44" outlineLevel="1" ht="14.5" customHeight="1" thickTop="1">
      <c r="A44" s="13" t="n"/>
      <c r="B44" s="107" t="n"/>
      <c r="C44" s="107" t="n"/>
      <c r="D44" s="107" t="n"/>
    </row>
    <row r="45" outlineLevel="1" ht="14.5" customHeight="1">
      <c r="A45" s="14" t="inlineStr">
        <is>
          <t>Common Dividends</t>
        </is>
      </c>
      <c r="B45" s="105" t="n">
        <v>5</v>
      </c>
      <c r="C45" s="105" t="n">
        <v>8</v>
      </c>
      <c r="D45" s="105" t="n">
        <v>10</v>
      </c>
    </row>
    <row r="46" outlineLevel="1" ht="14.5" customHeight="1">
      <c r="B46" s="97" t="n"/>
      <c r="C46" s="97" t="n"/>
      <c r="D46" s="97" t="n"/>
    </row>
    <row r="47" ht="14.5" customHeight="1">
      <c r="B47" s="96" t="n"/>
      <c r="C47" s="96" t="n"/>
      <c r="D47" s="96" t="n"/>
    </row>
    <row r="48" ht="19.75" customFormat="1" customHeight="1" s="12">
      <c r="A48" s="10" t="inlineStr">
        <is>
          <t>Balance Sheet</t>
        </is>
      </c>
      <c r="B48" s="95" t="n"/>
      <c r="C48" s="95" t="n"/>
      <c r="D48" s="95" t="n"/>
    </row>
    <row r="49" outlineLevel="1" ht="14.5" customHeight="1">
      <c r="A49" s="13" t="n"/>
      <c r="B49" s="96" t="n"/>
      <c r="C49" s="96" t="n"/>
      <c r="D49" s="96" t="n"/>
    </row>
    <row r="50" outlineLevel="1" ht="14.5" customHeight="1">
      <c r="A50" s="13" t="inlineStr">
        <is>
          <t>ASSETS</t>
        </is>
      </c>
      <c r="B50" s="96" t="n"/>
      <c r="C50" s="96" t="n"/>
      <c r="D50" s="96" t="n"/>
    </row>
    <row r="51" outlineLevel="1" ht="14.5" customHeight="1">
      <c r="A51" s="13" t="inlineStr">
        <is>
          <t>Current Assets:</t>
        </is>
      </c>
      <c r="B51" s="96" t="n"/>
      <c r="C51" s="96" t="n"/>
      <c r="D51" s="96" t="n"/>
    </row>
    <row r="52" outlineLevel="1" ht="14.5" customHeight="1">
      <c r="A52" s="14" t="inlineStr">
        <is>
          <t>Cash</t>
        </is>
      </c>
      <c r="B52" s="105" t="n">
        <v>72.09999999999999</v>
      </c>
      <c r="C52" s="105" t="n">
        <v>96.86500000000001</v>
      </c>
      <c r="D52" s="105" t="n">
        <v>114.525</v>
      </c>
    </row>
    <row r="53" outlineLevel="1" ht="14.5" customHeight="1">
      <c r="A53" s="14" t="inlineStr">
        <is>
          <t>Trade and Other Receivables</t>
        </is>
      </c>
      <c r="B53" s="105" t="n">
        <v>55</v>
      </c>
      <c r="C53" s="105" t="n">
        <v>62</v>
      </c>
      <c r="D53" s="105" t="n">
        <v>68</v>
      </c>
    </row>
    <row r="54" outlineLevel="1" ht="14.5" customHeight="1">
      <c r="A54" s="14" t="inlineStr">
        <is>
          <t>Inventories</t>
        </is>
      </c>
      <c r="B54" s="105" t="n">
        <v>30</v>
      </c>
      <c r="C54" s="105" t="n">
        <v>34</v>
      </c>
      <c r="D54" s="105" t="n">
        <v>38</v>
      </c>
    </row>
    <row r="55" outlineLevel="1" ht="14.5" customHeight="1">
      <c r="A55" t="inlineStr">
        <is>
          <t>Prepaid Expenses</t>
        </is>
      </c>
      <c r="B55" s="98" t="n">
        <v>8</v>
      </c>
      <c r="C55" s="98" t="n">
        <v>9</v>
      </c>
      <c r="D55" s="98" t="n">
        <v>10</v>
      </c>
    </row>
    <row r="56" outlineLevel="1" ht="14.5" customHeight="1">
      <c r="A56" t="inlineStr">
        <is>
          <t>Other Current Assets</t>
        </is>
      </c>
      <c r="B56" s="98" t="n">
        <v>5</v>
      </c>
      <c r="C56" s="98" t="n">
        <v>6</v>
      </c>
      <c r="D56" s="98" t="n">
        <v>7</v>
      </c>
    </row>
    <row r="57" outlineLevel="1" ht="14.5" customHeight="1">
      <c r="A57" s="30" t="inlineStr">
        <is>
          <t>Total Current Assets</t>
        </is>
      </c>
      <c r="B57" s="108">
        <f>SUM(B52:B56)</f>
        <v/>
      </c>
      <c r="C57" s="108">
        <f>SUM(C52:C56)</f>
        <v/>
      </c>
      <c r="D57" s="108">
        <f>SUM(D52:D56)</f>
        <v/>
      </c>
    </row>
    <row r="58" outlineLevel="1" ht="14.5" customHeight="1" thickBot="1">
      <c r="A58" s="13" t="inlineStr">
        <is>
          <t>Non-Current Assets:</t>
        </is>
      </c>
      <c r="B58" s="107" t="n"/>
      <c r="C58" s="107" t="n"/>
      <c r="D58" s="107" t="n"/>
    </row>
    <row r="59" outlineLevel="1" ht="14.5" customHeight="1">
      <c r="A59" s="14" t="inlineStr">
        <is>
          <t>Property Plant and Equipment - Gross</t>
        </is>
      </c>
      <c r="B59" s="105" t="n">
        <v>160</v>
      </c>
      <c r="C59" s="105" t="n">
        <v>190</v>
      </c>
      <c r="D59" s="105" t="n">
        <v>215</v>
      </c>
    </row>
    <row r="60" outlineLevel="1" ht="14.5" customHeight="1">
      <c r="A60" t="inlineStr">
        <is>
          <t>Less: Accumulated Depreciation</t>
        </is>
      </c>
      <c r="B60" s="98" t="n">
        <v>40</v>
      </c>
      <c r="C60" s="98" t="n">
        <v>55</v>
      </c>
      <c r="D60" s="98" t="n">
        <v>70</v>
      </c>
    </row>
    <row r="61" outlineLevel="1" ht="14.5" customHeight="1">
      <c r="A61" t="inlineStr">
        <is>
          <t>Property Plant and Equipment - Net</t>
        </is>
      </c>
      <c r="B61" s="96">
        <f>B59-B60</f>
        <v/>
      </c>
      <c r="C61" s="96">
        <f>C59-C60</f>
        <v/>
      </c>
      <c r="D61" s="96">
        <f>D59-D60</f>
        <v/>
      </c>
    </row>
    <row r="62" outlineLevel="1" ht="14.5" customHeight="1">
      <c r="A62" s="35" t="inlineStr">
        <is>
          <t>TOTAL ASSETS</t>
        </is>
      </c>
      <c r="B62" s="111">
        <f>B57+B61</f>
        <v/>
      </c>
      <c r="C62" s="111">
        <f>C57+C61</f>
        <v/>
      </c>
      <c r="D62" s="111">
        <f>D57+D61</f>
        <v/>
      </c>
    </row>
    <row r="63" outlineLevel="1" ht="14.5" customHeight="1">
      <c r="B63" s="107" t="n"/>
      <c r="C63" s="107" t="n"/>
      <c r="D63" s="107" t="n"/>
    </row>
    <row r="64" outlineLevel="1" ht="14.5" customHeight="1">
      <c r="A64" s="13" t="inlineStr">
        <is>
          <t>LIABILITIES AND SHAREHOLDERS' EQUITY</t>
        </is>
      </c>
      <c r="B64" s="107" t="n"/>
      <c r="C64" s="107" t="n"/>
      <c r="D64" s="107" t="n"/>
    </row>
    <row r="65" outlineLevel="1" ht="14.5" customHeight="1">
      <c r="A65" s="13" t="inlineStr">
        <is>
          <t>Current Liabilities:</t>
        </is>
      </c>
      <c r="B65" s="107" t="n"/>
      <c r="C65" s="107" t="n"/>
      <c r="D65" s="107" t="n"/>
    </row>
    <row r="66" outlineLevel="1" ht="14.5" customHeight="1">
      <c r="A66" s="14" t="inlineStr">
        <is>
          <t>Accounts Payable</t>
        </is>
      </c>
      <c r="B66" s="105" t="n">
        <v>45</v>
      </c>
      <c r="C66" s="105" t="n">
        <v>52</v>
      </c>
      <c r="D66" s="105" t="n">
        <v>58</v>
      </c>
    </row>
    <row r="67" outlineLevel="1" ht="14.5" customHeight="1">
      <c r="A67" t="inlineStr">
        <is>
          <t>Accrued Payroll</t>
        </is>
      </c>
      <c r="B67" s="98" t="n">
        <v>12</v>
      </c>
      <c r="C67" s="98" t="n">
        <v>13</v>
      </c>
      <c r="D67" s="98" t="n">
        <v>14</v>
      </c>
    </row>
    <row r="68" outlineLevel="1" ht="14.5" customHeight="1">
      <c r="A68" t="inlineStr">
        <is>
          <t>Deferred Revenue</t>
        </is>
      </c>
      <c r="B68" s="98" t="n">
        <v>10</v>
      </c>
      <c r="C68" s="98" t="n">
        <v>11</v>
      </c>
      <c r="D68" s="98" t="n">
        <v>12</v>
      </c>
    </row>
    <row r="69" outlineLevel="1" ht="14.5" customHeight="1">
      <c r="A69" t="inlineStr">
        <is>
          <t>Interest Payable</t>
        </is>
      </c>
      <c r="B69" s="98" t="n">
        <v>2</v>
      </c>
      <c r="C69" s="98" t="n">
        <v>2.5</v>
      </c>
      <c r="D69" s="98" t="n">
        <v>3</v>
      </c>
    </row>
    <row r="70" outlineLevel="1" ht="14.5" customHeight="1">
      <c r="A70" t="inlineStr">
        <is>
          <t>Other Current Liabilities</t>
        </is>
      </c>
      <c r="B70" s="98" t="n">
        <v>5</v>
      </c>
      <c r="C70" s="98" t="n">
        <v>6</v>
      </c>
      <c r="D70" s="98" t="n">
        <v>6.5</v>
      </c>
    </row>
    <row r="71" outlineLevel="1" ht="14.5" customHeight="1" thickBot="1">
      <c r="A71" s="14" t="inlineStr">
        <is>
          <t>Income Taxes Payable</t>
        </is>
      </c>
      <c r="B71" s="105" t="n">
        <v>3</v>
      </c>
      <c r="C71" s="105" t="n">
        <v>4</v>
      </c>
      <c r="D71" s="105" t="n">
        <v>5</v>
      </c>
    </row>
    <row r="72" outlineLevel="1" ht="14.5" customHeight="1">
      <c r="A72" s="30" t="inlineStr">
        <is>
          <t>Total Current Liabilities:</t>
        </is>
      </c>
      <c r="B72" s="108">
        <f>SUM(B66:B71)</f>
        <v/>
      </c>
      <c r="C72" s="108">
        <f>SUM(C66:C71)</f>
        <v/>
      </c>
      <c r="D72" s="108">
        <f>SUM(D66:D71)</f>
        <v/>
      </c>
    </row>
    <row r="73" outlineLevel="1" ht="14.5" customHeight="1">
      <c r="A73" s="13" t="inlineStr">
        <is>
          <t>Non-Current Liabilities:</t>
        </is>
      </c>
      <c r="B73" s="107" t="n"/>
      <c r="C73" s="107" t="n"/>
      <c r="D73" s="107" t="n"/>
    </row>
    <row r="74" outlineLevel="1" ht="14.5" customHeight="1">
      <c r="A74" s="14" t="inlineStr">
        <is>
          <t>Long-Term Debt</t>
        </is>
      </c>
      <c r="B74" s="105" t="n">
        <v>60</v>
      </c>
      <c r="C74" s="105" t="n">
        <v>70</v>
      </c>
      <c r="D74" s="105" t="n">
        <v>65</v>
      </c>
    </row>
    <row r="75" ht="14.5" customHeight="1">
      <c r="A75" s="13" t="inlineStr">
        <is>
          <t>Shareholder's Equity:</t>
        </is>
      </c>
      <c r="B75" s="107" t="n"/>
      <c r="C75" s="107" t="n"/>
      <c r="D75" s="107" t="n"/>
    </row>
    <row r="76" ht="19.75" customFormat="1" customHeight="1" s="12">
      <c r="A76" s="14" t="inlineStr">
        <is>
          <t>Common Stock and Additional Paid-In Capital</t>
        </is>
      </c>
      <c r="B76" s="105" t="n">
        <v>80</v>
      </c>
      <c r="C76" s="105" t="n">
        <v>85</v>
      </c>
      <c r="D76" s="105" t="n">
        <v>85</v>
      </c>
    </row>
    <row r="77" outlineLevel="1" ht="14.5" customHeight="1">
      <c r="A77" s="14" t="inlineStr">
        <is>
          <t>Retained Earnings</t>
        </is>
      </c>
      <c r="B77" s="105" t="n">
        <v>0</v>
      </c>
      <c r="C77" s="105" t="n">
        <v>0</v>
      </c>
      <c r="D77" s="105" t="n">
        <v>0</v>
      </c>
    </row>
    <row r="78" outlineLevel="1" ht="14.5" customHeight="1">
      <c r="A78" s="27" t="inlineStr">
        <is>
          <t>Total Shareholders' Equity</t>
        </is>
      </c>
      <c r="B78" s="112">
        <f>SUM(B76,B77)</f>
        <v/>
      </c>
      <c r="C78" s="112">
        <f>SUM(C76,C77)</f>
        <v/>
      </c>
      <c r="D78" s="112">
        <f>SUM(D76,D77)</f>
        <v/>
      </c>
    </row>
    <row r="79" outlineLevel="1" ht="14.5" customHeight="1">
      <c r="A79" s="35" t="inlineStr">
        <is>
          <t>TOTAL LIABILITIES AND SHAREHOLDERS' EQUITY</t>
        </is>
      </c>
      <c r="B79" s="111">
        <f>B78+B74+B72</f>
        <v/>
      </c>
      <c r="C79" s="111">
        <f>C78+C74+C72</f>
        <v/>
      </c>
      <c r="D79" s="111">
        <f>D78+D74+D72</f>
        <v/>
      </c>
    </row>
    <row r="80" outlineLevel="1" ht="14.5" customHeight="1">
      <c r="B80" s="107" t="n"/>
      <c r="C80" s="107" t="n"/>
      <c r="D80" s="107" t="n"/>
    </row>
    <row r="81" outlineLevel="1" ht="14.5" customHeight="1">
      <c r="A81" s="39" t="inlineStr">
        <is>
          <t>Check</t>
        </is>
      </c>
      <c r="B81" s="113">
        <f>IFERROR(IF(ABS(B52-B114)&lt;0.01,0,B52-B114),0)</f>
        <v/>
      </c>
      <c r="C81" s="113">
        <f>IFERROR(IF(ABS(C52-C114)&lt;0.01,0,C52-C114),0)</f>
        <v/>
      </c>
      <c r="D81" s="113">
        <f>IFERROR(IF(ABS(D52-D114)&lt;0.01,0,D52-D114),0)</f>
        <v/>
      </c>
    </row>
    <row r="82" outlineLevel="1" ht="14.5" customHeight="1">
      <c r="B82" s="96" t="n"/>
      <c r="C82" s="96" t="n"/>
      <c r="D82" s="96" t="n"/>
    </row>
    <row r="83" outlineLevel="1" ht="14.5" customHeight="1">
      <c r="B83" s="96" t="n"/>
      <c r="C83" s="96" t="n"/>
      <c r="D83" s="96" t="n"/>
    </row>
    <row r="84" outlineLevel="1" ht="14.5" customHeight="1">
      <c r="A84" s="10" t="inlineStr">
        <is>
          <t>Cash Flow Statement</t>
        </is>
      </c>
      <c r="B84" s="114" t="n"/>
      <c r="C84" s="114" t="n"/>
      <c r="D84" s="114" t="n"/>
    </row>
    <row r="85" outlineLevel="1" ht="14.5" customHeight="1">
      <c r="A85" s="13" t="n"/>
      <c r="B85" s="97" t="n"/>
      <c r="C85" s="97" t="n"/>
      <c r="D85" s="97" t="n"/>
    </row>
    <row r="86" outlineLevel="1" ht="14.5" customHeight="1">
      <c r="A86" s="13" t="inlineStr">
        <is>
          <t>Cash Flows from Operating Activities:</t>
        </is>
      </c>
      <c r="B86" s="115" t="n"/>
      <c r="C86" s="115" t="n"/>
      <c r="D86" s="115" t="n"/>
    </row>
    <row r="87" outlineLevel="1" ht="14.5" customHeight="1">
      <c r="A87" s="14" t="inlineStr">
        <is>
          <t>Net Income</t>
        </is>
      </c>
      <c r="B87" s="97">
        <f>B43</f>
        <v/>
      </c>
      <c r="C87" s="97">
        <f>C43</f>
        <v/>
      </c>
      <c r="D87" s="97">
        <f>D43</f>
        <v/>
      </c>
    </row>
    <row r="88" outlineLevel="1" ht="14.5" customHeight="1">
      <c r="A88" s="14" t="inlineStr">
        <is>
          <t>Depreciation</t>
        </is>
      </c>
      <c r="B88" s="97">
        <f>B38</f>
        <v/>
      </c>
      <c r="C88" s="97">
        <f>C38</f>
        <v/>
      </c>
      <c r="D88" s="97">
        <f>D38</f>
        <v/>
      </c>
    </row>
    <row r="89" outlineLevel="1" ht="14.5" customHeight="1">
      <c r="A89" s="14" t="inlineStr">
        <is>
          <t>Changes in Operating Assets and Liabilities:</t>
        </is>
      </c>
      <c r="B89" s="97" t="n"/>
      <c r="C89" s="97" t="n"/>
      <c r="D89" s="97" t="n"/>
    </row>
    <row r="90" outlineLevel="1" ht="14.5" customHeight="1">
      <c r="A90" s="42" t="inlineStr">
        <is>
          <t>Change in Accounts Receivable</t>
        </is>
      </c>
      <c r="B90" s="97" t="n">
        <v>0</v>
      </c>
      <c r="C90" s="97">
        <f>B53-C53</f>
        <v/>
      </c>
      <c r="D90" s="97">
        <f>C53-D53</f>
        <v/>
      </c>
    </row>
    <row r="91" outlineLevel="1" ht="14.5" customHeight="1">
      <c r="A91" s="42" t="inlineStr">
        <is>
          <t>Change in Inventory</t>
        </is>
      </c>
      <c r="B91" s="97" t="n">
        <v>0</v>
      </c>
      <c r="C91" s="97">
        <f>B54-C54</f>
        <v/>
      </c>
      <c r="D91" s="97">
        <f>C54-D54</f>
        <v/>
      </c>
    </row>
    <row r="92" outlineLevel="1" ht="14.5" customHeight="1">
      <c r="A92" t="inlineStr">
        <is>
          <t>Change in Prepaid Expenses</t>
        </is>
      </c>
      <c r="B92" s="96" t="n">
        <v>0</v>
      </c>
      <c r="C92" s="96">
        <f>B55-C55</f>
        <v/>
      </c>
      <c r="D92" s="96">
        <f>C55-D55</f>
        <v/>
      </c>
    </row>
    <row r="93" outlineLevel="1" ht="14.5" customHeight="1">
      <c r="A93" t="inlineStr">
        <is>
          <t>Change in Other Current Assets</t>
        </is>
      </c>
      <c r="B93" s="96" t="n">
        <v>0</v>
      </c>
      <c r="C93" s="96">
        <f>B56-C56</f>
        <v/>
      </c>
      <c r="D93" s="96">
        <f>C56-D56</f>
        <v/>
      </c>
    </row>
    <row r="94" outlineLevel="1" ht="14.5" customHeight="1">
      <c r="A94" s="42" t="inlineStr">
        <is>
          <t>Change in Accounts Payable</t>
        </is>
      </c>
      <c r="B94" s="97" t="n">
        <v>0</v>
      </c>
      <c r="C94" s="97">
        <f>C66-B66</f>
        <v/>
      </c>
      <c r="D94" s="97">
        <f>D66-C66</f>
        <v/>
      </c>
    </row>
    <row r="95" outlineLevel="1" ht="14.5" customHeight="1">
      <c r="A95" t="inlineStr">
        <is>
          <t>Change in Accrued Payroll</t>
        </is>
      </c>
      <c r="B95" s="96" t="n">
        <v>0</v>
      </c>
      <c r="C95" s="96">
        <f>C67-B67</f>
        <v/>
      </c>
      <c r="D95" s="96">
        <f>D67-C67</f>
        <v/>
      </c>
    </row>
    <row r="96" outlineLevel="1" ht="14.5" customHeight="1">
      <c r="A96" t="inlineStr">
        <is>
          <t>Change in Deferred Revenue</t>
        </is>
      </c>
      <c r="B96" s="96" t="n">
        <v>0</v>
      </c>
      <c r="C96" s="96">
        <f>C68-B68</f>
        <v/>
      </c>
      <c r="D96" s="96">
        <f>D68-C68</f>
        <v/>
      </c>
    </row>
    <row r="97" outlineLevel="1" ht="14.5" customHeight="1">
      <c r="A97" t="inlineStr">
        <is>
          <t>Change in Interest Payable</t>
        </is>
      </c>
      <c r="B97" s="96" t="n">
        <v>0</v>
      </c>
      <c r="C97" s="96">
        <f>C69-B69</f>
        <v/>
      </c>
      <c r="D97" s="96">
        <f>D69-C69</f>
        <v/>
      </c>
    </row>
    <row r="98" outlineLevel="1" ht="14.5" customHeight="1">
      <c r="A98" t="inlineStr">
        <is>
          <t>Change in Other Current Liabilities</t>
        </is>
      </c>
      <c r="B98" s="96" t="n">
        <v>0</v>
      </c>
      <c r="C98" s="96">
        <f>C70-B70</f>
        <v/>
      </c>
      <c r="D98" s="96">
        <f>D70-C70</f>
        <v/>
      </c>
    </row>
    <row r="99" outlineLevel="1" ht="14.5" customHeight="1">
      <c r="A99" s="42" t="inlineStr">
        <is>
          <t>Change in Income Taxes Payable</t>
        </is>
      </c>
      <c r="B99" s="97" t="n">
        <v>0</v>
      </c>
      <c r="C99" s="97">
        <f>C71-B71</f>
        <v/>
      </c>
      <c r="D99" s="97">
        <f>D71-C71</f>
        <v/>
      </c>
    </row>
    <row r="100" outlineLevel="1" ht="14.5" customHeight="1">
      <c r="A100" s="30" t="inlineStr">
        <is>
          <t>Net Cash Provided by Operating Activities</t>
        </is>
      </c>
      <c r="B100" s="116">
        <f>SUM(B87:B99)</f>
        <v/>
      </c>
      <c r="C100" s="116">
        <f>SUM(C87:C99)</f>
        <v/>
      </c>
      <c r="D100" s="116">
        <f>SUM(D87:D99)</f>
        <v/>
      </c>
    </row>
    <row r="101" outlineLevel="1" ht="14.5" customHeight="1">
      <c r="A101" s="14" t="inlineStr"/>
      <c r="B101" s="97" t="n"/>
      <c r="C101" s="97" t="n"/>
      <c r="D101" s="97" t="n"/>
    </row>
    <row r="102" ht="14.5" customHeight="1">
      <c r="A102" s="13" t="inlineStr">
        <is>
          <t>Investing Activities:</t>
        </is>
      </c>
      <c r="B102" s="97" t="n"/>
      <c r="C102" s="97" t="n"/>
      <c r="D102" s="97" t="n"/>
    </row>
    <row r="103" ht="19.75" customFormat="1" customHeight="1" s="12">
      <c r="A103" s="14" t="inlineStr">
        <is>
          <t>Acquisitions of Property and Equipment</t>
        </is>
      </c>
      <c r="B103" s="105" t="n">
        <v>-20</v>
      </c>
      <c r="C103" s="105" t="n">
        <v>-29.99999999999999</v>
      </c>
      <c r="D103" s="105" t="n">
        <v>-24.99999999999997</v>
      </c>
    </row>
    <row r="104" outlineLevel="1" ht="14.5" customHeight="1">
      <c r="A104" s="30" t="inlineStr">
        <is>
          <t>Cash Flows from Investing Activities</t>
        </is>
      </c>
      <c r="B104" s="116">
        <f>SUM(B103:B103)</f>
        <v/>
      </c>
      <c r="C104" s="116">
        <f>SUM(C103:C103)</f>
        <v/>
      </c>
      <c r="D104" s="116">
        <f>SUM(D103:D103)</f>
        <v/>
      </c>
    </row>
    <row r="105" outlineLevel="1" ht="14.5" customHeight="1">
      <c r="A105" s="14" t="inlineStr"/>
      <c r="B105" s="97" t="n"/>
      <c r="C105" s="97" t="n"/>
      <c r="D105" s="97" t="n"/>
    </row>
    <row r="106" outlineLevel="1" ht="14.5" customHeight="1">
      <c r="A106" s="13" t="inlineStr">
        <is>
          <t>Financing Activities:</t>
        </is>
      </c>
      <c r="B106" s="97" t="n"/>
      <c r="C106" s="97" t="n"/>
      <c r="D106" s="97" t="n"/>
    </row>
    <row r="107" outlineLevel="1" ht="14.5" customHeight="1">
      <c r="A107" s="14" t="inlineStr">
        <is>
          <t>Issuance of Common Stock</t>
        </is>
      </c>
      <c r="B107" s="97" t="n">
        <v>0</v>
      </c>
      <c r="C107" s="97">
        <f>C76-B76</f>
        <v/>
      </c>
      <c r="D107" s="97">
        <f>D76-C76</f>
        <v/>
      </c>
    </row>
    <row r="108" outlineLevel="1" ht="14.5" customHeight="1">
      <c r="A108" s="14" t="inlineStr">
        <is>
          <t>Dividends (current year)</t>
        </is>
      </c>
      <c r="B108" s="97">
        <f>-B45</f>
        <v/>
      </c>
      <c r="C108" s="97">
        <f>-C45</f>
        <v/>
      </c>
      <c r="D108" s="97">
        <f>-D45</f>
        <v/>
      </c>
    </row>
    <row r="109" outlineLevel="1" ht="14.5" customHeight="1">
      <c r="A109" s="14" t="inlineStr">
        <is>
          <t>Increase/(Decrease) in Long-Term Debt</t>
        </is>
      </c>
      <c r="B109" s="97" t="n">
        <v>0</v>
      </c>
      <c r="C109" s="97">
        <f>C74-B74</f>
        <v/>
      </c>
      <c r="D109" s="97">
        <f>D74-C74</f>
        <v/>
      </c>
    </row>
    <row r="110" outlineLevel="1" ht="14.5" customHeight="1">
      <c r="A110" s="30" t="inlineStr">
        <is>
          <t>Cash Flows from Financing Activities</t>
        </is>
      </c>
      <c r="B110" s="116">
        <f>SUM(B107:B109)</f>
        <v/>
      </c>
      <c r="C110" s="116">
        <f>SUM(C107:C109)</f>
        <v/>
      </c>
      <c r="D110" s="116">
        <f>SUM(D107:D109)</f>
        <v/>
      </c>
    </row>
    <row r="111" outlineLevel="1" ht="14.5" customHeight="1">
      <c r="A111" s="14" t="inlineStr"/>
      <c r="B111" s="97" t="n"/>
      <c r="C111" s="97" t="n"/>
      <c r="D111" s="97" t="n"/>
    </row>
    <row r="112" outlineLevel="1" ht="14.5" customHeight="1">
      <c r="A112" s="13" t="inlineStr">
        <is>
          <t>Increase/(Decrease) in Cash and Equivalents</t>
        </is>
      </c>
      <c r="B112" s="97">
        <f>B100+B104+B110</f>
        <v/>
      </c>
      <c r="C112" s="97">
        <f>C100+C104+C110</f>
        <v/>
      </c>
      <c r="D112" s="97">
        <f>D100+D104+D110</f>
        <v/>
      </c>
    </row>
    <row r="113" outlineLevel="1" ht="14.5" customHeight="1">
      <c r="A113" s="14" t="inlineStr">
        <is>
          <t>Cash and Equivalents, Beginning of the Year</t>
        </is>
      </c>
      <c r="B113" s="105" t="n">
        <v>60</v>
      </c>
      <c r="C113" s="97">
        <f>B114</f>
        <v/>
      </c>
      <c r="D113" s="97">
        <f>C114</f>
        <v/>
      </c>
    </row>
    <row r="114" outlineLevel="1" ht="14.5" customHeight="1">
      <c r="A114" s="44" t="inlineStr">
        <is>
          <t>Cash and Equivalents, End of the Year</t>
        </is>
      </c>
      <c r="B114" s="117">
        <f>B113+B112</f>
        <v/>
      </c>
      <c r="C114" s="117">
        <f>C113+C112</f>
        <v/>
      </c>
      <c r="D114" s="117">
        <f>D113+D112</f>
        <v/>
      </c>
    </row>
    <row r="115" outlineLevel="1" ht="14.5" customHeight="1">
      <c r="B115" s="96" t="n"/>
      <c r="C115" s="96" t="n"/>
      <c r="D115" s="96" t="n"/>
    </row>
    <row r="116" outlineLevel="1" ht="14.5" customHeight="1">
      <c r="B116" s="118" t="n"/>
      <c r="C116" s="118" t="n"/>
      <c r="D116" s="118" t="n"/>
    </row>
    <row r="117" outlineLevel="1" ht="14.5" customHeight="1">
      <c r="B117" s="97" t="n"/>
      <c r="C117" s="97" t="n"/>
      <c r="D117" s="97" t="n"/>
    </row>
    <row r="118" outlineLevel="1" ht="14.5" customHeight="1">
      <c r="B118" s="97" t="n"/>
      <c r="C118" s="97" t="n"/>
      <c r="D118" s="97" t="n"/>
    </row>
    <row r="119" outlineLevel="1" ht="14.5" customHeight="1"/>
    <row r="120" outlineLevel="1" ht="14.5" customHeight="1"/>
    <row r="121" outlineLevel="1" ht="14.5" customHeight="1"/>
    <row r="122" outlineLevel="1" ht="14.5" customHeight="1"/>
    <row r="123" outlineLevel="1" ht="14.5" customHeight="1"/>
    <row r="124" outlineLevel="1" ht="14.5" customHeight="1"/>
    <row r="125" outlineLevel="1" ht="14.5" customHeight="1"/>
    <row r="126" ht="14.5" customHeight="1"/>
    <row r="127" ht="19.75" customFormat="1" customHeight="1" s="12"/>
    <row r="128" outlineLevel="1" ht="14.5" customHeight="1"/>
    <row r="129" outlineLevel="1" ht="14.5" customHeight="1"/>
    <row r="130" outlineLevel="1" ht="14.5" customHeight="1"/>
    <row r="131" outlineLevel="1" ht="14.5" customHeight="1"/>
    <row r="132" outlineLevel="1" ht="14.5" customHeight="1"/>
    <row r="133" outlineLevel="1" ht="14.5" customHeight="1"/>
    <row r="134" outlineLevel="1" ht="14.5" customHeight="1"/>
    <row r="135" outlineLevel="1" ht="14.5" customHeight="1"/>
    <row r="136" outlineLevel="1" ht="14.5" customHeight="1"/>
    <row r="137" outlineLevel="1" ht="14.5" customHeight="1"/>
    <row r="138" outlineLevel="1" ht="14.5" customHeight="1"/>
    <row r="139" outlineLevel="1" ht="14.5" customHeight="1"/>
    <row r="140" outlineLevel="1" ht="14.5" customHeight="1"/>
    <row r="141" outlineLevel="1" ht="14.5" customHeight="1"/>
    <row r="142" outlineLevel="1" ht="14.5" customHeight="1"/>
    <row r="143" outlineLevel="1" ht="14.5" customHeight="1"/>
    <row r="144" outlineLevel="1" ht="14.5" customHeight="1"/>
    <row r="145" outlineLevel="1" ht="14.5" customHeight="1"/>
    <row r="146" outlineLevel="1" ht="14.5" customHeight="1"/>
    <row r="147" outlineLevel="1" ht="14.5" customHeight="1"/>
    <row r="148" outlineLevel="1" ht="14.5" customHeight="1"/>
    <row r="149" outlineLevel="1" ht="14.5" customHeight="1"/>
    <row r="150" outlineLevel="1" ht="14.5" customHeight="1"/>
    <row r="151" outlineLevel="1" ht="14.5" customHeight="1"/>
    <row r="152" outlineLevel="1" ht="14.5" customHeight="1"/>
    <row r="153" outlineLevel="1" ht="14.5" customHeight="1"/>
    <row r="154" outlineLevel="1" ht="14.5" customHeight="1"/>
    <row r="155" outlineLevel="1" ht="14.5" customHeight="1"/>
    <row r="156" outlineLevel="1" ht="14.5" customHeight="1"/>
    <row r="157" outlineLevel="1" ht="14.5" customHeight="1"/>
    <row r="158" outlineLevel="1" ht="14.5" customHeight="1"/>
    <row r="159" outlineLevel="1" ht="14.5" customHeight="1"/>
    <row r="160" outlineLevel="1" ht="14.5" customHeight="1"/>
    <row r="161" outlineLevel="1" ht="14.5" customHeight="1"/>
    <row r="162" ht="14.5" customHeight="1"/>
    <row r="163" ht="14.5" customHeight="1"/>
    <row r="164" ht="14.5" customHeight="1"/>
    <row r="165" ht="14.5" customHeight="1"/>
    <row r="166" ht="14.5" customHeight="1"/>
    <row r="167" ht="14.5" customHeight="1"/>
    <row r="168" ht="14.5" customHeight="1"/>
    <row r="169" ht="14.5" customHeight="1"/>
    <row r="170" ht="14.5" customHeight="1"/>
    <row r="171" ht="14.5" customHeight="1"/>
    <row r="172" ht="14.5" customHeight="1"/>
    <row r="173" ht="14.5" customHeight="1"/>
    <row r="174" ht="14.5" customHeight="1"/>
    <row r="175" ht="14.5" customHeight="1"/>
    <row r="176" ht="14.5" customHeight="1"/>
    <row r="177" ht="14.5" customHeight="1"/>
    <row r="178" ht="14.5" customHeight="1"/>
    <row r="179" ht="14.5" customHeight="1"/>
    <row r="180" ht="14.5" customHeight="1"/>
    <row r="181" ht="14.5" customHeight="1"/>
    <row r="182" ht="14.5" customHeight="1"/>
    <row r="183" ht="14.5" customHeight="1"/>
    <row r="184" ht="14.5" customHeight="1"/>
    <row r="185" ht="14.5" customHeight="1"/>
    <row r="186" ht="14.5" customHeight="1"/>
    <row r="187" ht="14.5" customHeight="1"/>
    <row r="188" ht="14.5" customHeight="1"/>
    <row r="189" ht="14.5" customHeight="1"/>
    <row r="190" ht="14.5" customHeight="1"/>
    <row r="191" ht="14.5" customHeight="1"/>
    <row r="192" ht="14.5" customHeight="1"/>
    <row r="193" ht="14.5" customHeight="1"/>
    <row r="194" ht="14.5" customHeight="1"/>
    <row r="195" ht="14.5" customHeight="1"/>
    <row r="196" ht="14.5" customHeight="1"/>
    <row r="197" ht="14.5" customHeight="1"/>
    <row r="198" ht="14.5" customHeight="1"/>
    <row r="199" ht="14.5" customHeight="1"/>
    <row r="200" ht="14.5" customHeight="1"/>
    <row r="201" ht="14.5" customHeight="1"/>
    <row r="202" ht="14.5" customHeight="1"/>
    <row r="203" ht="14.5" customHeight="1"/>
  </sheetData>
  <conditionalFormatting sqref="A2">
    <cfRule type="containsText" priority="3" operator="containsText" dxfId="1" text="OK">
      <formula>NOT(ISERROR(SEARCH("OK",A2)))</formula>
    </cfRule>
    <cfRule type="containsText" priority="4" operator="containsText" dxfId="0" text="ERROR">
      <formula>NOT(ISERROR(SEARCH("ERROR",A2)))</formula>
    </cfRule>
  </conditionalFormatting>
  <conditionalFormatting sqref="B3:D3">
    <cfRule type="containsText" priority="5" operator="containsText" dxfId="1" text="OK">
      <formula>NOT(ISERROR(SEARCH("OK",B3)))</formula>
    </cfRule>
    <cfRule type="containsText" priority="6" operator="containsText" dxfId="0" text="ERROR">
      <formula>NOT(ISERROR(SEARCH("ERROR",B3)))</formula>
    </cfRule>
  </conditionalFormatting>
  <pageMargins left="0.75" right="0.75" top="1" bottom="1" header="0.5" footer="0.5"/>
  <pageSetup orientation="landscape" scale="57" fitToHeight="0" blackAndWhite="1"/>
  <headerFooter alignWithMargins="0">
    <oddHeader/>
    <oddFooter>&amp;R&amp;6 © Management Development Associates (NA) Inc. - 21317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0" customWidth="1" min="1" max="1"/>
    <col width="30" customWidth="1" min="2" max="2"/>
    <col width="18" customWidth="1" min="3" max="3"/>
    <col width="14" customWidth="1" min="4" max="4"/>
    <col width="18" customWidth="1" min="5" max="5"/>
    <col width="26" customWidth="1" min="6" max="6"/>
  </cols>
  <sheetData>
    <row r="1">
      <c r="A1" s="120" t="inlineStr">
        <is>
          <t>Upload tips (for accurate results):</t>
        </is>
      </c>
    </row>
    <row r="2">
      <c r="A2" t="inlineStr">
        <is>
          <t>• Best results: Upload a Trial Balance (ending balances) by period/year including Balance Sheet + P&amp;L accounts.</t>
        </is>
      </c>
    </row>
    <row r="3">
      <c r="A3" s="121" t="inlineStr">
        <is>
          <t>• GL Activity upload: Works well for Income Statement + drill-down. Balance Sheet &amp; Cash Flow may be incomplete unless opening balances (or a Trial Balance) are provided.</t>
        </is>
      </c>
    </row>
    <row r="4">
      <c r="A4" s="122" t="inlineStr">
        <is>
          <t>• If key Balance Sheet accounts (Cash, AR, Inventory, AP, Debt, Equity) are missing, the app will show warnings and generate a downgraded output.</t>
        </is>
      </c>
    </row>
    <row r="6">
      <c r="A6" t="inlineStr">
        <is>
          <t>AI summary fallback:</t>
        </is>
      </c>
    </row>
    <row r="7">
      <c r="A7" t="inlineStr">
        <is>
          <t>• If Balance Sheet inputs are missing, summarize only the statements that are valid (often the Income Statement) and clearly label what could not be generated.</t>
        </is>
      </c>
    </row>
    <row r="9">
      <c r="A9" t="inlineStr">
        <is>
          <t>TB vs GL Activity:</t>
        </is>
      </c>
    </row>
    <row r="10">
      <c r="A10" t="inlineStr">
        <is>
          <t>• Trial Balance is the preferred source for financial-statement generation (how large companies report).</t>
        </is>
      </c>
    </row>
    <row r="11">
      <c r="A11" t="inlineStr">
        <is>
          <t>• GL Activity is primarily for audit trail, drill-down, and variance explanations.</t>
        </is>
      </c>
    </row>
    <row r="12">
      <c r="A12" s="121" t="inlineStr"/>
    </row>
    <row r="13">
      <c r="A13" s="123" t="inlineStr">
        <is>
          <t>TransactionID:</t>
        </is>
      </c>
      <c r="B13" s="123" t="n"/>
      <c r="C13" s="123" t="n"/>
      <c r="D13" s="123" t="n"/>
      <c r="E13" s="123" t="inlineStr">
        <is>
          <t>Warnings</t>
        </is>
      </c>
      <c r="F13" s="123" t="inlineStr">
        <is>
          <t>Notes</t>
        </is>
      </c>
    </row>
    <row r="14">
      <c r="A14" s="124" t="inlineStr">
        <is>
          <t>• Optional. If present, validate debit = credit per transaction. If missing, fall back to other grouping keys (Date+Doc No.) or overall totals (lower confidence).</t>
        </is>
      </c>
      <c r="B14" s="124" t="n"/>
      <c r="C14" s="124" t="n"/>
      <c r="D14" s="124" t="n"/>
      <c r="E14" s="124" t="inlineStr">
        <is>
          <t>If missing required BS lines, will still downgrade</t>
        </is>
      </c>
      <c r="F14" s="124" t="inlineStr">
        <is>
          <t>Best practice for financial reporting</t>
        </is>
      </c>
    </row>
    <row r="15">
      <c r="A15" s="125" t="inlineStr"/>
      <c r="B15" s="125" t="n"/>
      <c r="C15" s="125" t="n"/>
      <c r="D15" s="125" t="n"/>
      <c r="E15" s="125" t="inlineStr">
        <is>
          <t>Warnings</t>
        </is>
      </c>
      <c r="F15" s="125" t="inlineStr">
        <is>
          <t>Notes</t>
        </is>
      </c>
    </row>
    <row r="16">
      <c r="A16" s="124" t="inlineStr">
        <is>
          <t>Common account alias mapping examples:</t>
        </is>
      </c>
      <c r="B16" s="124" t="n"/>
      <c r="C16" s="124" t="n"/>
      <c r="D16" s="124" t="n"/>
      <c r="E16" s="124" t="inlineStr">
        <is>
          <t>Without opening balances, BS/CF are incomplete → warnings + downgraded PDF/summary</t>
        </is>
      </c>
      <c r="F16" s="124" t="inlineStr">
        <is>
          <t>Big files OK; app validates debits=credits per TransactionID</t>
        </is>
      </c>
    </row>
    <row r="17">
      <c r="A17" t="inlineStr">
        <is>
          <t>• Accounts Receivable / A/R → Trade and Other Receivables</t>
        </is>
      </c>
    </row>
    <row r="18">
      <c r="A18" s="121" t="inlineStr">
        <is>
          <t>• Accrued Liabilities / Accrued Expenses → Accrued Payroll (model's accrued bucket)</t>
        </is>
      </c>
    </row>
    <row r="19">
      <c r="A19" s="125" t="inlineStr">
        <is>
          <t>• Notes Payable / Term Loan → Long-Term Debt</t>
        </is>
      </c>
      <c r="B19" s="125" t="n"/>
      <c r="C19" s="125" t="n"/>
      <c r="D19" s="125" t="n"/>
      <c r="E19" s="125" t="inlineStr">
        <is>
          <t>Required for full output?</t>
        </is>
      </c>
      <c r="F19" s="125" t="inlineStr">
        <is>
          <t>Notes</t>
        </is>
      </c>
    </row>
    <row r="20">
      <c r="A20" s="124" t="inlineStr">
        <is>
          <t>• Income Tax Payable → Income Taxes Payable</t>
        </is>
      </c>
      <c r="B20" s="124" t="n"/>
      <c r="C20" s="124" t="n"/>
      <c r="D20" s="124" t="n"/>
      <c r="E20" s="124" t="inlineStr">
        <is>
          <t>Yes</t>
        </is>
      </c>
      <c r="F20" s="124" t="inlineStr">
        <is>
          <t>Maps AR ending balance</t>
        </is>
      </c>
    </row>
    <row r="21">
      <c r="A21" s="124" t="inlineStr">
        <is>
          <t>• Common Stock / APIC → Common Stock and Additional Paid-In Capital</t>
        </is>
      </c>
      <c r="B21" s="124" t="n"/>
      <c r="C21" s="124" t="n"/>
      <c r="D21" s="124" t="n"/>
      <c r="E21" s="124" t="inlineStr">
        <is>
          <t>Yes</t>
        </is>
      </c>
      <c r="F21" s="124" t="inlineStr">
        <is>
          <t>Maps AP ending balance</t>
        </is>
      </c>
    </row>
    <row r="22">
      <c r="A22" s="124" t="inlineStr"/>
      <c r="B22" s="124" t="n"/>
      <c r="C22" s="124" t="n"/>
      <c r="D22" s="124" t="n"/>
      <c r="E22" s="124" t="inlineStr">
        <is>
          <t>Optional</t>
        </is>
      </c>
      <c r="F22" s="124" t="inlineStr">
        <is>
          <t>If not present, defaults to 0</t>
        </is>
      </c>
    </row>
    <row r="23">
      <c r="A23" s="124" t="inlineStr">
        <is>
          <t>Units:</t>
        </is>
      </c>
      <c r="B23" s="124" t="n"/>
      <c r="C23" s="124" t="n"/>
      <c r="D23" s="124" t="n"/>
      <c r="E23" s="124" t="inlineStr">
        <is>
          <t>Optional</t>
        </is>
      </c>
      <c r="F23" s="124" t="inlineStr">
        <is>
          <t>If not present, defaults to 0</t>
        </is>
      </c>
    </row>
    <row r="24">
      <c r="A24" s="124" t="inlineStr">
        <is>
          <t>• UI requires selecting: USD dollars (default) or USD thousands before generating statements.</t>
        </is>
      </c>
      <c r="B24" s="124" t="n"/>
      <c r="C24" s="124" t="n"/>
      <c r="D24" s="124" t="n"/>
      <c r="E24" s="124" t="inlineStr">
        <is>
          <t>Optional</t>
        </is>
      </c>
      <c r="F24" s="124" t="inlineStr">
        <is>
          <t>If not present, defaults to 0</t>
        </is>
      </c>
    </row>
    <row r="25">
      <c r="A25" s="124" t="n"/>
      <c r="B25" s="124" t="n"/>
      <c r="C25" s="124" t="n"/>
      <c r="D25" s="124" t="n"/>
      <c r="E25" s="124" t="inlineStr">
        <is>
          <t>Optional</t>
        </is>
      </c>
      <c r="F25" s="124" t="inlineStr">
        <is>
          <t>If not present, defaults to 0</t>
        </is>
      </c>
    </row>
    <row r="26">
      <c r="A26" s="124" t="n"/>
      <c r="B26" s="124" t="n"/>
      <c r="C26" s="124" t="n"/>
      <c r="D26" s="124" t="n"/>
      <c r="E26" s="124" t="inlineStr">
        <is>
          <t>Optional</t>
        </is>
      </c>
      <c r="F26" s="124" t="inlineStr">
        <is>
          <t>If missing, CF financing may be incomplete</t>
        </is>
      </c>
    </row>
    <row r="27">
      <c r="A27" s="124" t="n"/>
      <c r="B27" s="124" t="n"/>
      <c r="C27" s="124" t="n"/>
      <c r="D27" s="124" t="n"/>
      <c r="E27" s="124" t="inlineStr">
        <is>
          <t>Optional</t>
        </is>
      </c>
      <c r="F27" s="124" t="inlineStr">
        <is>
          <t>Non-cash addback in CFO</t>
        </is>
      </c>
    </row>
    <row r="28">
      <c r="A28" s="124" t="n"/>
      <c r="B28" s="124" t="n"/>
      <c r="C28" s="124" t="n"/>
      <c r="D28" s="124" t="n"/>
      <c r="E28" s="124" t="inlineStr">
        <is>
          <t>Optional</t>
        </is>
      </c>
      <c r="F28" s="124" t="inlineStr">
        <is>
          <t>Used for EBT/Net Income</t>
        </is>
      </c>
    </row>
    <row r="30">
      <c r="A30" s="121" t="n"/>
      <c r="C30" s="12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Designer</dc:creator>
  <dcterms:created xmlns:dcterms="http://purl.org/dc/terms/" xmlns:xsi="http://www.w3.org/2001/XMLSchema-instance" xsi:type="dcterms:W3CDTF">2019-09-10T18:31:51Z</dcterms:created>
  <dcterms:modified xmlns:dcterms="http://purl.org/dc/terms/" xmlns:xsi="http://www.w3.org/2001/XMLSchema-instance" xsi:type="dcterms:W3CDTF">2026-02-12T08:26:26Z</dcterms:modified>
  <cp:lastModifiedBy>Yujie Li</cp:lastModifiedBy>
</cp:coreProperties>
</file>